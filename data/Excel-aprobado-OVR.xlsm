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IR SOTO\Desktop\Poryectame\Ranibizumab\Versiones adaptadas_2\"/>
    </mc:Choice>
  </mc:AlternateContent>
  <xr:revisionPtr revIDLastSave="0" documentId="13_ncr:1_{CCFF41F0-F2B3-4059-B1BC-BBEC6F52BA5D}" xr6:coauthVersionLast="47" xr6:coauthVersionMax="47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_Listas" sheetId="21" state="veryHidden" r:id="rId1"/>
    <sheet name="Modelo de valor" sheetId="17" r:id="rId2"/>
    <sheet name="Definiciones " sheetId="18" r:id="rId3"/>
    <sheet name="MCDA Advanced Dashboard" sheetId="1" r:id="rId4"/>
    <sheet name="T_results" sheetId="20" state="hidden" r:id="rId5"/>
    <sheet name="Resumen" sheetId="19" r:id="rId6"/>
    <sheet name="Input_costo2" sheetId="16" r:id="rId7"/>
    <sheet name="Matriz_Medicamentos" sheetId="8" state="hidden" r:id="rId8"/>
    <sheet name="Inputs_OVR " sheetId="5" state="hidden" r:id="rId9"/>
    <sheet name="Referencias" sheetId="22" r:id="rId10"/>
    <sheet name="Matriz_Resultados_Crudos" sheetId="9" state="hidden" r:id="rId11"/>
    <sheet name="ChartData" sheetId="2" state="hidden" r:id="rId12"/>
  </sheets>
  <functionGroups builtInGroupCount="19"/>
  <externalReferences>
    <externalReference r:id="rId13"/>
    <externalReference r:id="rId14"/>
    <externalReference r:id="rId15"/>
    <externalReference r:id="rId16"/>
  </externalReferences>
  <definedNames>
    <definedName name="_xlnm.Print_Area" localSheetId="5">Resumen!$A$1:$AB$39</definedName>
    <definedName name="Lista_Moleculas_Seleccionadas" localSheetId="9">[1]_Listas!$A$1:$A$8</definedName>
    <definedName name="Lista_Moleculas_Seleccionadas">[2]_Listas!$A$1:$A$8</definedName>
    <definedName name="ListaEconomica" localSheetId="2">_xlfn.ANCHORARRAY([2]Equivalencia!$E$4)</definedName>
    <definedName name="ListaEconomica" localSheetId="6">_xlfn.ANCHORARRAY([3]Equivalencia!$E$4)</definedName>
    <definedName name="ListaEconomica" localSheetId="9">_xlfn.ANCHORARRAY([1]Equivalencia!$E$4)</definedName>
    <definedName name="ListaEconomica">_xlfn.ANCHORARRAY(#REF!)</definedName>
    <definedName name="LP_Lista_Moleculas_Seleccionadas">[4]_Listas!$A$1:$A$7</definedName>
    <definedName name="RX3_Lista_Moleculas_Seleccionadas">_Listas!$A$1:$A$2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1" l="1"/>
  <c r="O31" i="19"/>
  <c r="N31" i="19"/>
  <c r="M31" i="19"/>
  <c r="L31" i="19"/>
  <c r="K31" i="19"/>
  <c r="H31" i="19"/>
  <c r="G31" i="19"/>
  <c r="F31" i="19"/>
  <c r="E31" i="19"/>
  <c r="D31" i="19"/>
  <c r="D21" i="1"/>
  <c r="D20" i="1"/>
  <c r="D19" i="1"/>
  <c r="E20" i="1"/>
  <c r="L20" i="1" s="1"/>
  <c r="F11" i="20" a="1"/>
  <c r="F11" i="20" s="1"/>
  <c r="E11" i="20" a="1"/>
  <c r="E11" i="20" s="1"/>
  <c r="C12" i="9"/>
  <c r="C11" i="9"/>
  <c r="C10" i="9"/>
  <c r="C9" i="9"/>
  <c r="C8" i="9"/>
  <c r="C7" i="9"/>
  <c r="C6" i="9"/>
  <c r="C5" i="9"/>
  <c r="C4" i="9"/>
  <c r="C3" i="9"/>
  <c r="B12" i="9"/>
  <c r="B11" i="9"/>
  <c r="B10" i="9"/>
  <c r="B9" i="9"/>
  <c r="B8" i="9"/>
  <c r="B7" i="9"/>
  <c r="B6" i="9"/>
  <c r="B5" i="9"/>
  <c r="B4" i="9"/>
  <c r="B3" i="9"/>
  <c r="E15" i="5"/>
  <c r="E14" i="5"/>
  <c r="E13" i="5"/>
  <c r="E12" i="5"/>
  <c r="E33" i="5"/>
  <c r="E32" i="5"/>
  <c r="E31" i="5"/>
  <c r="E30" i="5"/>
  <c r="F20" i="1" l="1"/>
  <c r="I20" i="1"/>
  <c r="J20" i="1"/>
  <c r="K20" i="1"/>
  <c r="H20" i="1"/>
  <c r="I11" i="16"/>
  <c r="I9" i="16"/>
  <c r="R16" i="1" l="1"/>
  <c r="J6" i="20" l="1"/>
  <c r="D21" i="19" s="1"/>
  <c r="D11" i="19"/>
  <c r="L11" i="19"/>
  <c r="D10" i="20" l="1"/>
  <c r="D11" i="20"/>
  <c r="D12" i="20"/>
  <c r="D13" i="20"/>
  <c r="D15" i="20"/>
  <c r="D16" i="20"/>
  <c r="D17" i="20"/>
  <c r="D18" i="20"/>
  <c r="D19" i="20"/>
  <c r="D20" i="20"/>
  <c r="D21" i="20"/>
  <c r="D13" i="19" l="1"/>
  <c r="R28" i="19" a="1"/>
  <c r="L19" i="19"/>
  <c r="D19" i="19"/>
  <c r="L17" i="19"/>
  <c r="D17" i="19"/>
  <c r="L15" i="19"/>
  <c r="D15" i="19"/>
  <c r="L13" i="19"/>
  <c r="R28" i="19" l="1"/>
  <c r="R21" i="1" l="1"/>
  <c r="R18" i="1"/>
  <c r="M11" i="16" l="1"/>
  <c r="M9" i="16"/>
  <c r="O11" i="16" l="1"/>
  <c r="O9" i="16"/>
  <c r="J7" i="20" s="1"/>
  <c r="T18" i="1"/>
  <c r="T16" i="1"/>
  <c r="C2" i="9"/>
  <c r="B2" i="9"/>
  <c r="E36" i="5"/>
  <c r="E18" i="5"/>
  <c r="E35" i="5"/>
  <c r="E17" i="5"/>
  <c r="E34" i="5"/>
  <c r="E16" i="5"/>
  <c r="E29" i="5"/>
  <c r="E28" i="5"/>
  <c r="E11" i="5"/>
  <c r="E10" i="5"/>
  <c r="D16" i="1" l="1"/>
  <c r="P28" i="19" a="1"/>
  <c r="K6" i="20"/>
  <c r="E23" i="19" s="1"/>
  <c r="K7" i="20"/>
  <c r="L23" i="19" s="1"/>
  <c r="L21" i="19"/>
  <c r="D26" i="1"/>
  <c r="D17" i="1"/>
  <c r="D25" i="1"/>
  <c r="D29" i="1"/>
  <c r="D23" i="1"/>
  <c r="D28" i="1"/>
  <c r="T21" i="1"/>
  <c r="E38" i="5"/>
  <c r="E20" i="5"/>
  <c r="E37" i="5"/>
  <c r="E19" i="5"/>
  <c r="C2" i="8" l="1" a="1"/>
  <c r="C2" i="8" s="1"/>
  <c r="P28" i="19"/>
  <c r="B2" i="8" a="1"/>
  <c r="B2" i="8" s="1"/>
  <c r="I28" i="19" s="1" a="1"/>
  <c r="I28" i="19" s="1"/>
  <c r="B28" i="19" l="1" a="1"/>
  <c r="B28" i="19" s="1"/>
  <c r="E25" i="1"/>
  <c r="K25" i="1" s="1"/>
  <c r="E23" i="1"/>
  <c r="I23" i="1" s="1"/>
  <c r="E16" i="1"/>
  <c r="F16" i="1" s="1"/>
  <c r="L35" i="19"/>
  <c r="L30" i="19"/>
  <c r="K37" i="19"/>
  <c r="K35" i="19"/>
  <c r="K33" i="19"/>
  <c r="K29" i="19"/>
  <c r="O32" i="19"/>
  <c r="M29" i="19"/>
  <c r="N36" i="19"/>
  <c r="N32" i="19"/>
  <c r="M32" i="19"/>
  <c r="O30" i="19"/>
  <c r="L38" i="19"/>
  <c r="O36" i="19"/>
  <c r="K32" i="19"/>
  <c r="M30" i="19"/>
  <c r="N35" i="19"/>
  <c r="L33" i="19"/>
  <c r="K36" i="19"/>
  <c r="K34" i="19"/>
  <c r="M35" i="19"/>
  <c r="N38" i="19"/>
  <c r="M37" i="19"/>
  <c r="L36" i="19"/>
  <c r="L32" i="19"/>
  <c r="O37" i="19"/>
  <c r="O35" i="19"/>
  <c r="O33" i="19"/>
  <c r="O29" i="19"/>
  <c r="M33" i="19"/>
  <c r="N37" i="19"/>
  <c r="N33" i="19"/>
  <c r="M34" i="19"/>
  <c r="L29" i="19"/>
  <c r="L34" i="19"/>
  <c r="O38" i="19"/>
  <c r="O34" i="19"/>
  <c r="M36" i="19"/>
  <c r="M38" i="19"/>
  <c r="K30" i="19"/>
  <c r="L37" i="19"/>
  <c r="K38" i="19"/>
  <c r="N30" i="19"/>
  <c r="N29" i="19"/>
  <c r="N34" i="19"/>
  <c r="E29" i="1"/>
  <c r="K29" i="1" s="1"/>
  <c r="E19" i="1"/>
  <c r="E17" i="1"/>
  <c r="I17" i="1" s="1"/>
  <c r="E26" i="1"/>
  <c r="J26" i="1" s="1"/>
  <c r="E28" i="1"/>
  <c r="I28" i="1" s="1"/>
  <c r="E22" i="1"/>
  <c r="E21" i="1"/>
  <c r="F21" i="1" s="1"/>
  <c r="J22" i="1" l="1"/>
  <c r="F22" i="1"/>
  <c r="J19" i="1"/>
  <c r="F19" i="1"/>
  <c r="K23" i="1"/>
  <c r="H23" i="1"/>
  <c r="L23" i="1"/>
  <c r="H25" i="1"/>
  <c r="J25" i="1"/>
  <c r="F25" i="1"/>
  <c r="F23" i="1"/>
  <c r="F34" i="19"/>
  <c r="E35" i="19"/>
  <c r="F38" i="19"/>
  <c r="G35" i="19"/>
  <c r="D35" i="19"/>
  <c r="H30" i="19"/>
  <c r="F29" i="19"/>
  <c r="H29" i="19"/>
  <c r="D30" i="19"/>
  <c r="G37" i="19"/>
  <c r="G34" i="19"/>
  <c r="G29" i="19"/>
  <c r="D32" i="19"/>
  <c r="H38" i="19"/>
  <c r="H33" i="19"/>
  <c r="E36" i="19"/>
  <c r="E37" i="19"/>
  <c r="D33" i="19"/>
  <c r="D29" i="19"/>
  <c r="D34" i="19"/>
  <c r="F33" i="19"/>
  <c r="E38" i="19"/>
  <c r="D38" i="19"/>
  <c r="F37" i="19"/>
  <c r="G36" i="19"/>
  <c r="D37" i="19"/>
  <c r="F35" i="19"/>
  <c r="G33" i="19"/>
  <c r="E30" i="19"/>
  <c r="H36" i="19"/>
  <c r="E29" i="19"/>
  <c r="H32" i="19"/>
  <c r="G28" i="19"/>
  <c r="H34" i="19"/>
  <c r="G30" i="19"/>
  <c r="H35" i="19"/>
  <c r="F30" i="19"/>
  <c r="E33" i="19"/>
  <c r="E34" i="19"/>
  <c r="E32" i="19"/>
  <c r="G38" i="19"/>
  <c r="F32" i="19"/>
  <c r="G32" i="19"/>
  <c r="H37" i="19"/>
  <c r="F36" i="19"/>
  <c r="D36" i="19"/>
  <c r="J23" i="1"/>
  <c r="I25" i="1"/>
  <c r="L25" i="1"/>
  <c r="D28" i="19"/>
  <c r="E28" i="19"/>
  <c r="H16" i="1"/>
  <c r="J16" i="1"/>
  <c r="L16" i="1"/>
  <c r="K16" i="1"/>
  <c r="I16" i="1"/>
  <c r="K21" i="1"/>
  <c r="N28" i="19"/>
  <c r="L28" i="19"/>
  <c r="M28" i="19"/>
  <c r="O28" i="19"/>
  <c r="K28" i="19"/>
  <c r="L19" i="1"/>
  <c r="H19" i="1"/>
  <c r="L17" i="1"/>
  <c r="K19" i="1"/>
  <c r="H22" i="1"/>
  <c r="L22" i="1"/>
  <c r="L29" i="1"/>
  <c r="F29" i="1"/>
  <c r="F28" i="1"/>
  <c r="K28" i="1"/>
  <c r="J29" i="1"/>
  <c r="L28" i="1"/>
  <c r="H29" i="1"/>
  <c r="I29" i="1"/>
  <c r="H21" i="1"/>
  <c r="H17" i="1"/>
  <c r="I21" i="1"/>
  <c r="J28" i="1"/>
  <c r="H28" i="1"/>
  <c r="I22" i="1"/>
  <c r="I26" i="1"/>
  <c r="J21" i="1"/>
  <c r="F17" i="1"/>
  <c r="G16" i="1" s="1"/>
  <c r="H26" i="1"/>
  <c r="L26" i="1"/>
  <c r="L21" i="1"/>
  <c r="F26" i="1"/>
  <c r="I19" i="1"/>
  <c r="K22" i="1"/>
  <c r="J17" i="1"/>
  <c r="K26" i="1"/>
  <c r="K17" i="1"/>
  <c r="G19" i="1" l="1"/>
  <c r="F31" i="1"/>
  <c r="E9" i="1" s="1"/>
  <c r="R23" i="1" s="1"/>
  <c r="G25" i="1"/>
  <c r="F28" i="19"/>
  <c r="H28" i="19"/>
  <c r="G28" i="1"/>
  <c r="A2" i="2" l="1"/>
  <c r="B2" i="2" s="1"/>
  <c r="T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<sst xmlns="http://schemas.openxmlformats.org/spreadsheetml/2006/main" count="273" uniqueCount="120">
  <si>
    <t>PUNTAJE GLOBAL OBTENIDO</t>
  </si>
  <si>
    <t>Dominio / Criterio</t>
  </si>
  <si>
    <t>Peso (%)</t>
  </si>
  <si>
    <t>Puntaje Ponderado</t>
  </si>
  <si>
    <t>TOTAL GLOBAL</t>
  </si>
  <si>
    <t>Score</t>
  </si>
  <si>
    <t>Remaining</t>
  </si>
  <si>
    <t>Incluido</t>
  </si>
  <si>
    <t>Mejoría</t>
  </si>
  <si>
    <t>PROs</t>
  </si>
  <si>
    <t>Seguridad</t>
  </si>
  <si>
    <t>Criterio</t>
  </si>
  <si>
    <t>Dominio</t>
  </si>
  <si>
    <t xml:space="preserve">Valor </t>
  </si>
  <si>
    <t xml:space="preserve">Eficacia </t>
  </si>
  <si>
    <t>Cambio medio en la agudeza visual corregida (BCVA)</t>
  </si>
  <si>
    <t>Pacientes con ganancia ≥15 letras en BCVA</t>
  </si>
  <si>
    <t xml:space="preserve">Desprendimiento de retina </t>
  </si>
  <si>
    <t xml:space="preserve">Seguridad </t>
  </si>
  <si>
    <t>Infarto agudo de miocardio</t>
  </si>
  <si>
    <t>Supresión sistémica de VEGF</t>
  </si>
  <si>
    <t>Calidad de vida relacionada con la salud</t>
  </si>
  <si>
    <t>Discapacidad / capacidad funcional</t>
  </si>
  <si>
    <t>Posicionamiento terapéutico</t>
  </si>
  <si>
    <t>Estado de aprobación regulatoria</t>
  </si>
  <si>
    <t>Inclusión en guías de práctica clínica</t>
  </si>
  <si>
    <t xml:space="preserve">Tiempo de seguimiento </t>
  </si>
  <si>
    <t xml:space="preserve">Resultado </t>
  </si>
  <si>
    <t xml:space="preserve">Referencia </t>
  </si>
  <si>
    <t>NR</t>
  </si>
  <si>
    <t>Desenlace de interés</t>
  </si>
  <si>
    <t>Prolongada</t>
  </si>
  <si>
    <t>Comentarios</t>
  </si>
  <si>
    <t>On-Label</t>
  </si>
  <si>
    <t xml:space="preserve">* Venkatesh, Ramesh et al. “Anti-VEGF safety in evolution: A comprehensive review of ocular and systemic considerations.” Indian journal of ophthalmology vol. 74,5 (2026): 748-759. doi:10.4103/IJO.IJO_3284_25
*Sharma, Sourabh et al. “Evidence-Based Guidelines for Intravitreal Anti-VEGF Therapy for Diabetic Retinopathy in Chronic Kidney Disease.” Diabetes therapy : research, treatment and education of diabetes and related disorders vol. 16,11 (2025): 2073-2082. doi:10.1007/s13300-025-01791-y
</t>
  </si>
  <si>
    <t>MEDICAMENTO BAJO EVALUACIÓN:</t>
  </si>
  <si>
    <t>%</t>
  </si>
  <si>
    <t>Modelo de valor adaptado</t>
  </si>
  <si>
    <t>No prolongada</t>
  </si>
  <si>
    <t>INVIMA 2018M-0007158-R1</t>
  </si>
  <si>
    <t>Desenlaces reportados por pacientes (PROs)</t>
  </si>
  <si>
    <t xml:space="preserve">52 semanas </t>
  </si>
  <si>
    <t>Resultado</t>
  </si>
  <si>
    <t>COSTO TOTAL</t>
  </si>
  <si>
    <t>INFORMACIÓN ECONÓMICA</t>
  </si>
  <si>
    <t>COSTO ANUAL DE ADMINISTRACIÓN</t>
  </si>
  <si>
    <t>COSTO POR PUNTAJE DE SALUD NETA</t>
  </si>
  <si>
    <t>VALOR</t>
  </si>
  <si>
    <t>ESCENARIO VIDA REAL</t>
  </si>
  <si>
    <t xml:space="preserve">Tecnología </t>
  </si>
  <si>
    <t xml:space="preserve">Costo x n° inyecciónes </t>
  </si>
  <si>
    <t xml:space="preserve">Costo anual  administración </t>
  </si>
  <si>
    <t>Costo anual  *</t>
  </si>
  <si>
    <t>*El costo total anual corresponde al costo del medicamento más el costo anual de administración.</t>
  </si>
  <si>
    <t xml:space="preserve">COSTO ANUAL INYECCIONES </t>
  </si>
  <si>
    <t>INVIMA 2025MBT-0000160</t>
  </si>
  <si>
    <t>Definición operacional</t>
  </si>
  <si>
    <t>Valores posibles</t>
  </si>
  <si>
    <t>Magnitud del cambio promedio en letras de BCVA después del tratamiento, comparado con el valor basal . Refleja la ganancia funcional visual promedio atribuible a la intervención.</t>
  </si>
  <si>
    <t>Proporción de pacientes que alcanzan una mejoría clínicamente relevante de al menos 15 letras en BCVA durante el seguimiento del estudio. Este desenlace representa una recuperación visual significativa.</t>
  </si>
  <si>
    <t>Desprendimiento de retina</t>
  </si>
  <si>
    <t>Duración o persistencia de la reducción de VEGF sistémico posterior a la administración del medicamento. Evalúa el potencial efecto sistémico del tratamiento sobre la vía VEGF.</t>
  </si>
  <si>
    <r>
      <t xml:space="preserve">Prolongada = 1; </t>
    </r>
    <r>
      <rPr>
        <b/>
        <sz val="11"/>
        <color theme="1"/>
        <rFont val="Poppins"/>
      </rPr>
      <t>No prolongada = 5</t>
    </r>
  </si>
  <si>
    <t>Cambio reportado en instrumentos de calidad de vida relacionada con la salud, incluyendo dominios visuales, funcionales o generales. Se clasifica según si el tratamiento empeora, no modifica o mejora la calidad de vida.</t>
  </si>
  <si>
    <r>
      <t xml:space="preserve">Empeoramiento = 1; </t>
    </r>
    <r>
      <rPr>
        <b/>
        <sz val="11"/>
        <color theme="1"/>
        <rFont val="Poppins"/>
      </rPr>
      <t>Sin efecto = 3</t>
    </r>
    <r>
      <rPr>
        <sz val="11"/>
        <color theme="1"/>
        <rFont val="Poppins"/>
      </rPr>
      <t xml:space="preserve">; </t>
    </r>
    <r>
      <rPr>
        <b/>
        <sz val="11"/>
        <color theme="1"/>
        <rFont val="Poppins"/>
      </rPr>
      <t>Mejoría = 5</t>
    </r>
  </si>
  <si>
    <t>Cambio en la capacidad del paciente para realizar actividades cotidianas o mantener independencia funcional, medido mediante escalas funcionales, dominios visuales o reportes de desempeño.</t>
  </si>
  <si>
    <t xml:space="preserve">Posicionamiento terapéutico </t>
  </si>
  <si>
    <t>Condición regulatoria de uso del medicamento para la indicación evaluada. Diferencia si el tratamiento está aprobado específicamente para esa indicación o si su uso corresponde a una indicación no aprobada.</t>
  </si>
  <si>
    <r>
      <t xml:space="preserve">Off-label = 1; </t>
    </r>
    <r>
      <rPr>
        <b/>
        <sz val="11"/>
        <color theme="1"/>
        <rFont val="Poppins"/>
      </rPr>
      <t>On-label = 5</t>
    </r>
  </si>
  <si>
    <t>Presencia del medicamento o estrategia terapéutica en guías de práctica clínica relevantes para la indicación evaluada. Refleja el respaldo de recomendaciones clínicas formales.</t>
  </si>
  <si>
    <r>
      <t xml:space="preserve">No incluido = 1; </t>
    </r>
    <r>
      <rPr>
        <b/>
        <sz val="11"/>
        <color theme="1"/>
        <rFont val="Poppins"/>
      </rPr>
      <t>Incluido = 5</t>
    </r>
  </si>
  <si>
    <t xml:space="preserve">N° inyecciones al año </t>
  </si>
  <si>
    <t xml:space="preserve">Costo administración </t>
  </si>
  <si>
    <t xml:space="preserve">Precio </t>
  </si>
  <si>
    <t>Celdas editables</t>
  </si>
  <si>
    <t>DOMINIOS</t>
  </si>
  <si>
    <t>Eficacia</t>
  </si>
  <si>
    <t>Total global obtenido</t>
  </si>
  <si>
    <t xml:space="preserve">Costo anual tratamiento </t>
  </si>
  <si>
    <t xml:space="preserve">Costo por beneficio neto </t>
  </si>
  <si>
    <t xml:space="preserve">Criterio </t>
  </si>
  <si>
    <t>Comparador</t>
  </si>
  <si>
    <t xml:space="preserve">Ranibizumab 0,5 mg PRN </t>
  </si>
  <si>
    <t>24 meses</t>
  </si>
  <si>
    <t>Evento adverso serio, baja frecuencia 1/180 (0.56%)</t>
  </si>
  <si>
    <t>Registro clinical trials-BRIGHTER-NCT01599650</t>
  </si>
  <si>
    <t xml:space="preserve"> Aflibercept 2 mg  Q8</t>
  </si>
  <si>
    <t>Registro clinical trials-VIBRANT-NCT01521559</t>
  </si>
  <si>
    <t>Kovach, Jaclyn L., et al. "Retinal vein occlusions preferred practice pattern®." Ophthalmology 132.4 (2025): P303-P343.</t>
  </si>
  <si>
    <t>MOLECULA</t>
  </si>
  <si>
    <t>D-H</t>
  </si>
  <si>
    <t>K-O</t>
  </si>
  <si>
    <t xml:space="preserve">Referencias </t>
  </si>
  <si>
    <t xml:space="preserve">Eficacia, Seguridad, PROs </t>
  </si>
  <si>
    <t xml:space="preserve">Supresión VEGF </t>
  </si>
  <si>
    <t>2.Venkatesh, Ramesh et al. “Anti-VEGF safety in evolution: A comprehensive review of ocular and systemic considerations.” Indian journal of ophthalmology vol. 74,5 (2026): 748-759. doi:10.4103/IJO.IJO_3284_25</t>
  </si>
  <si>
    <t>3. Sharma, Sourabh et al. “Evidence-Based Guidelines for Intravitreal Anti-VEGF Therapy for Diabetic Retinopathy in Chronic Kidney Disease.” Diabetes therapy : research, treatment and education of diabetes and related disorders vol. 16,11 (2025): 2073-2082. doi:10.1007/s13300-025-01791-y</t>
  </si>
  <si>
    <t xml:space="preserve">Posicionamiento terpéutico </t>
  </si>
  <si>
    <t>4.INVIMA 2018M-0007158-R1</t>
  </si>
  <si>
    <t>4.INVIMA 2025MBT-0000160</t>
  </si>
  <si>
    <t>1. Registro clinical trials-BRIGHTER-NCT01599650</t>
  </si>
  <si>
    <t>5.Kovach, Jaclyn L., et al. "Retinal vein occlusions preferred practice pattern®." Ophthalmology 132.4 (2025): P303-P343.</t>
  </si>
  <si>
    <t>1. Registro clinical trials-VIBRANT-NCT0152155</t>
  </si>
  <si>
    <t xml:space="preserve">Detallado </t>
  </si>
  <si>
    <t xml:space="preserve">Comparativo </t>
  </si>
  <si>
    <t xml:space="preserve">Inputs costos </t>
  </si>
  <si>
    <t xml:space="preserve">Inputs evidencia </t>
  </si>
  <si>
    <t xml:space="preserve">Definiciones </t>
  </si>
  <si>
    <t>Descuento</t>
  </si>
  <si>
    <t>0–5 letras = 1; 6–10 letras = 2; 11–15 letras = 4; &gt;15 letras = 5</t>
  </si>
  <si>
    <t>0–15% = 1; 16–30% = 3; &gt;30% = 5</t>
  </si>
  <si>
    <t>Frecuencia de pacientes que presentan desprendimiento de retina  reportado como evento adverso serio durante el seguimiento del tratamiento.</t>
  </si>
  <si>
    <t>Frecuencia de pacientes que presentan infarto agudo de miocardio reportado como evento adverso serio durante el seguimiento del tratamiento.</t>
  </si>
  <si>
    <t>Evento cerebrovascular</t>
  </si>
  <si>
    <t>5 = 0%
4 = &gt;0% a &lt;0,5%
3 = ≥0,5% a &lt;1%
2 = ≥1% a &lt;3%
1 = ≥3%</t>
  </si>
  <si>
    <t xml:space="preserve">Evento cerebrovascular </t>
  </si>
  <si>
    <t>Frecuencia de pacientes que presentan un evento cerebrovascular reportado como evento adverso serio durante el periodo de seguimiento del tratamiento</t>
  </si>
  <si>
    <t>.</t>
  </si>
  <si>
    <t>Vitreitis</t>
  </si>
  <si>
    <t>Frecuencia de pacientes que presentan Vitreitis reportada como evento adverso  durante el seguimiento del tratamiento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</si>
</sst>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164" formatCode=";;;"/>
    <numFmt numFmtId="165" formatCode="_-[$$-240A]\ * #,##0_-;\-[$$-240A]\ * #,##0_-;_-[$$-240A]\ * &quot;-&quot;_-;_-@_-"/>
    <numFmt numFmtId="166" formatCode="_-[$$-240A]\ * #,##0.00_-;\-[$$-240A]\ * #,##0.00_-;_-[$$-240A]\ * &quot;-&quot;??_-;_-@_-"/>
  </numFmts>
  <fonts count="23">
    <font>
      <sz val="11"/>
      <color theme="1"/>
      <name val="Calibri"/>
      <family val="2"/>
      <scheme val="minor"/>
    </font>
    <font>
      <i/>
      <sz val="10"/>
      <color rgb="FF7F8C8D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rgb="FF2E2E2E"/>
      <name val="Arial"/>
      <family val="2"/>
    </font>
    <font>
      <b/>
      <sz val="11"/>
      <color rgb="FFFFFFFF"/>
      <name val="Poppins"/>
    </font>
    <font>
      <b/>
      <sz val="11"/>
      <color rgb="FF143778"/>
      <name val="Poppins"/>
    </font>
    <font>
      <sz val="11"/>
      <color theme="1"/>
      <name val="Poppins"/>
    </font>
    <font>
      <b/>
      <sz val="36"/>
      <color rgb="FF143778"/>
      <name val="Poppins"/>
    </font>
    <font>
      <b/>
      <sz val="10"/>
      <color rgb="FF143778"/>
      <name val="Poppins"/>
    </font>
    <font>
      <b/>
      <sz val="18"/>
      <color rgb="FF143778"/>
      <name val="Poppins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0"/>
      <color rgb="FFFFFFFF"/>
      <name val="Poppins"/>
    </font>
    <font>
      <sz val="10"/>
      <color theme="1"/>
      <name val="Poppins"/>
    </font>
    <font>
      <sz val="8"/>
      <color theme="1"/>
      <name val="Poppins"/>
    </font>
    <font>
      <b/>
      <sz val="12"/>
      <color rgb="FF143778"/>
      <name val="Roboto "/>
    </font>
    <font>
      <sz val="12"/>
      <color theme="1"/>
      <name val="Roboto "/>
    </font>
    <font>
      <sz val="11"/>
      <color theme="1"/>
      <name val="Calibri"/>
      <family val="2"/>
      <scheme val="minor"/>
    </font>
    <font>
      <b/>
      <sz val="11"/>
      <color theme="1"/>
      <name val="Poppins"/>
    </font>
    <font>
      <b/>
      <sz val="11"/>
      <color rgb="FFFFFFFF"/>
      <name val="Calibri"/>
      <family val="2"/>
    </font>
    <font>
      <b/>
      <sz val="9"/>
      <color rgb="FF143778"/>
      <name val="Poppins"/>
    </font>
    <font>
      <b/>
      <sz val="18"/>
      <color rgb="FF00008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4F7FC"/>
        <bgColor indexed="64"/>
      </patternFill>
    </fill>
    <fill>
      <patternFill patternType="solid">
        <fgColor rgb="FFE1EDFA"/>
        <bgColor indexed="64"/>
      </patternFill>
    </fill>
    <fill>
      <patternFill patternType="solid">
        <fgColor rgb="FF14377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173F82"/>
      </patternFill>
    </fill>
  </fills>
  <borders count="17">
    <border>
      <left/>
      <right/>
      <top/>
      <bottom/>
      <diagonal/>
    </border>
    <border>
      <left style="thin">
        <color rgb="FFA0C4E2"/>
      </left>
      <right style="thin">
        <color rgb="FFA0C4E2"/>
      </right>
      <top style="thin">
        <color rgb="FFA0C4E2"/>
      </top>
      <bottom style="thin">
        <color rgb="FFA0C4E2"/>
      </bottom>
      <diagonal/>
    </border>
    <border>
      <left style="thin">
        <color rgb="FF143778"/>
      </left>
      <right style="thin">
        <color rgb="FF143778"/>
      </right>
      <top style="thin">
        <color rgb="FF143778"/>
      </top>
      <bottom style="thin">
        <color rgb="FF143778"/>
      </bottom>
      <diagonal/>
    </border>
    <border>
      <left/>
      <right/>
      <top style="medium">
        <color rgb="FF143778"/>
      </top>
      <bottom style="thin">
        <color rgb="FFA0C4E2"/>
      </bottom>
      <diagonal/>
    </border>
    <border>
      <left/>
      <right/>
      <top/>
      <bottom style="thin">
        <color rgb="FFE0E0E0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 style="thin">
        <color rgb="FFD3D3D3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143778"/>
      </left>
      <right style="thin">
        <color rgb="FF143778"/>
      </right>
      <top style="thin">
        <color rgb="FF143778"/>
      </top>
      <bottom/>
      <diagonal/>
    </border>
    <border>
      <left/>
      <right style="thin">
        <color rgb="FF143778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143778"/>
      </left>
      <right/>
      <top style="thin">
        <color rgb="FF143778"/>
      </top>
      <bottom style="thin">
        <color rgb="FF143778"/>
      </bottom>
      <diagonal/>
    </border>
    <border>
      <left/>
      <right style="thin">
        <color rgb="FF143778"/>
      </right>
      <top style="thin">
        <color rgb="FF143778"/>
      </top>
      <bottom style="thin">
        <color rgb="FF143778"/>
      </bottom>
      <diagonal/>
    </border>
  </borders>
  <cellStyleXfs count="3">
    <xf numFmtId="0" fontId="0" fillId="0" borderId="0"/>
    <xf numFmtId="44" fontId="18" fillId="0" borderId="0" applyFont="0" applyFill="0" applyBorder="0" applyAlignment="0" applyProtection="0"/>
    <xf numFmtId="9" fontId="18" fillId="0" borderId="0" applyFont="0" applyFill="0" applyBorder="0" applyAlignment="0" applyProtection="0"/>
  </cellStyleXfs>
  <cellXfs count="93">
    <xf numFmtId="0" fontId="0" fillId="0" borderId="0" xfId="0"/>
    <xf numFmtId="0" fontId="1" fillId="0" borderId="0" xfId="0" applyFont="1"/>
    <xf numFmtId="0" fontId="2" fillId="4" borderId="2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5" borderId="0" xfId="0" applyFill="1"/>
    <xf numFmtId="0" fontId="4" fillId="4" borderId="2" xfId="0" applyFont="1" applyFill="1" applyBorder="1" applyAlignment="1">
      <alignment horizontal="left" vertical="center" indent="1"/>
    </xf>
    <xf numFmtId="0" fontId="4" fillId="4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left" vertical="center" indent="1"/>
    </xf>
    <xf numFmtId="0" fontId="6" fillId="0" borderId="4" xfId="0" applyFont="1" applyBorder="1" applyAlignment="1">
      <alignment horizontal="left" vertical="center" indent="2"/>
    </xf>
    <xf numFmtId="0" fontId="6" fillId="0" borderId="4" xfId="0" applyFont="1" applyBorder="1" applyAlignment="1">
      <alignment horizontal="center" vertical="center"/>
    </xf>
    <xf numFmtId="164" fontId="6" fillId="0" borderId="5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5" fillId="6" borderId="2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6" fillId="0" borderId="4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 vertical="center"/>
    </xf>
    <xf numFmtId="0" fontId="11" fillId="0" borderId="0" xfId="0" applyFont="1"/>
    <xf numFmtId="0" fontId="4" fillId="4" borderId="2" xfId="0" applyFont="1" applyFill="1" applyBorder="1" applyAlignment="1">
      <alignment horizontal="center" wrapText="1"/>
    </xf>
    <xf numFmtId="165" fontId="11" fillId="11" borderId="0" xfId="0" applyNumberFormat="1" applyFont="1" applyFill="1" applyAlignment="1">
      <alignment horizontal="center" vertical="center"/>
    </xf>
    <xf numFmtId="165" fontId="11" fillId="11" borderId="0" xfId="0" applyNumberFormat="1" applyFont="1" applyFill="1" applyAlignment="1">
      <alignment vertical="center"/>
    </xf>
    <xf numFmtId="0" fontId="13" fillId="4" borderId="2" xfId="0" applyFont="1" applyFill="1" applyBorder="1" applyAlignment="1">
      <alignment horizontal="center" vertical="center"/>
    </xf>
    <xf numFmtId="0" fontId="0" fillId="5" borderId="0" xfId="0" applyFill="1" applyAlignment="1">
      <alignment wrapText="1"/>
    </xf>
    <xf numFmtId="0" fontId="3" fillId="5" borderId="0" xfId="0" applyFont="1" applyFill="1"/>
    <xf numFmtId="0" fontId="14" fillId="5" borderId="9" xfId="0" applyFont="1" applyFill="1" applyBorder="1" applyAlignment="1">
      <alignment horizontal="left" vertical="center" wrapText="1"/>
    </xf>
    <xf numFmtId="0" fontId="14" fillId="5" borderId="9" xfId="0" applyFont="1" applyFill="1" applyBorder="1" applyAlignment="1">
      <alignment horizontal="center" vertical="center" wrapText="1"/>
    </xf>
    <xf numFmtId="0" fontId="15" fillId="5" borderId="9" xfId="0" applyFont="1" applyFill="1" applyBorder="1" applyAlignment="1">
      <alignment horizontal="center" wrapText="1"/>
    </xf>
    <xf numFmtId="0" fontId="14" fillId="5" borderId="8" xfId="0" applyFont="1" applyFill="1" applyBorder="1" applyAlignment="1">
      <alignment horizontal="left" vertical="center" wrapText="1"/>
    </xf>
    <xf numFmtId="0" fontId="14" fillId="5" borderId="8" xfId="0" applyFont="1" applyFill="1" applyBorder="1" applyAlignment="1">
      <alignment horizontal="center" vertical="center" wrapText="1"/>
    </xf>
    <xf numFmtId="0" fontId="15" fillId="5" borderId="8" xfId="0" applyFont="1" applyFill="1" applyBorder="1" applyAlignment="1">
      <alignment horizontal="center" wrapText="1"/>
    </xf>
    <xf numFmtId="0" fontId="6" fillId="5" borderId="0" xfId="0" applyFont="1" applyFill="1"/>
    <xf numFmtId="0" fontId="4" fillId="4" borderId="7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left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4" fillId="13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0" fillId="5" borderId="0" xfId="0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12" xfId="0" applyFont="1" applyFill="1" applyBorder="1" applyAlignment="1">
      <alignment horizontal="center" vertical="center"/>
    </xf>
    <xf numFmtId="0" fontId="6" fillId="5" borderId="13" xfId="0" applyFont="1" applyFill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 wrapText="1"/>
    </xf>
    <xf numFmtId="0" fontId="20" fillId="13" borderId="0" xfId="0" applyFont="1" applyFill="1" applyAlignment="1">
      <alignment horizontal="center" wrapText="1"/>
    </xf>
    <xf numFmtId="44" fontId="16" fillId="5" borderId="7" xfId="1" applyFont="1" applyFill="1" applyBorder="1" applyAlignment="1">
      <alignment horizontal="center" wrapText="1"/>
    </xf>
    <xf numFmtId="166" fontId="0" fillId="5" borderId="7" xfId="0" applyNumberFormat="1" applyFill="1" applyBorder="1"/>
    <xf numFmtId="0" fontId="0" fillId="0" borderId="7" xfId="0" applyBorder="1" applyAlignment="1">
      <alignment wrapText="1"/>
    </xf>
    <xf numFmtId="2" fontId="0" fillId="0" borderId="7" xfId="0" applyNumberFormat="1" applyBorder="1" applyAlignment="1">
      <alignment wrapText="1"/>
    </xf>
    <xf numFmtId="0" fontId="6" fillId="5" borderId="0" xfId="0" applyFont="1" applyFill="1" applyAlignment="1">
      <alignment horizontal="center"/>
    </xf>
    <xf numFmtId="0" fontId="21" fillId="5" borderId="0" xfId="0" applyFont="1" applyFill="1" applyAlignment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4" fillId="12" borderId="2" xfId="0" applyFont="1" applyFill="1" applyBorder="1" applyAlignment="1" applyProtection="1">
      <alignment horizontal="center" vertical="center"/>
      <protection locked="0"/>
    </xf>
    <xf numFmtId="0" fontId="4" fillId="12" borderId="2" xfId="0" applyFont="1" applyFill="1" applyBorder="1" applyAlignment="1" applyProtection="1">
      <alignment horizontal="center" vertical="center" wrapText="1"/>
      <protection locked="0"/>
    </xf>
    <xf numFmtId="0" fontId="16" fillId="5" borderId="7" xfId="0" applyFont="1" applyFill="1" applyBorder="1" applyAlignment="1" applyProtection="1">
      <alignment horizontal="center" wrapText="1"/>
      <protection locked="0"/>
    </xf>
    <xf numFmtId="166" fontId="16" fillId="5" borderId="7" xfId="0" applyNumberFormat="1" applyFont="1" applyFill="1" applyBorder="1" applyAlignment="1" applyProtection="1">
      <alignment horizontal="center" wrapText="1"/>
      <protection locked="0"/>
    </xf>
    <xf numFmtId="166" fontId="16" fillId="5" borderId="7" xfId="0" applyNumberFormat="1" applyFont="1" applyFill="1" applyBorder="1" applyAlignment="1" applyProtection="1">
      <alignment horizontal="center"/>
      <protection locked="0"/>
    </xf>
    <xf numFmtId="0" fontId="17" fillId="5" borderId="0" xfId="0" applyFont="1" applyFill="1" applyAlignment="1" applyProtection="1">
      <alignment horizontal="center" wrapText="1"/>
      <protection locked="0"/>
    </xf>
    <xf numFmtId="0" fontId="16" fillId="5" borderId="0" xfId="0" applyFont="1" applyFill="1" applyAlignment="1" applyProtection="1">
      <alignment horizontal="center" wrapText="1"/>
      <protection locked="0"/>
    </xf>
    <xf numFmtId="0" fontId="6" fillId="5" borderId="0" xfId="0" applyFont="1" applyFill="1" applyProtection="1">
      <protection locked="0"/>
    </xf>
    <xf numFmtId="0" fontId="6" fillId="12" borderId="0" xfId="0" applyFont="1" applyFill="1" applyProtection="1">
      <protection locked="0"/>
    </xf>
    <xf numFmtId="166" fontId="16" fillId="5" borderId="7" xfId="0" applyNumberFormat="1" applyFont="1" applyFill="1" applyBorder="1" applyAlignment="1">
      <alignment horizontal="center" wrapText="1"/>
    </xf>
    <xf numFmtId="9" fontId="5" fillId="5" borderId="7" xfId="2" applyFont="1" applyFill="1" applyBorder="1" applyAlignment="1">
      <alignment vertical="center"/>
    </xf>
    <xf numFmtId="10" fontId="14" fillId="5" borderId="8" xfId="0" applyNumberFormat="1" applyFont="1" applyFill="1" applyBorder="1" applyAlignment="1">
      <alignment horizontal="center" vertical="center" wrapText="1"/>
    </xf>
    <xf numFmtId="0" fontId="4" fillId="4" borderId="15" xfId="0" applyFont="1" applyFill="1" applyBorder="1" applyAlignment="1">
      <alignment horizontal="center" vertical="center" wrapText="1"/>
    </xf>
    <xf numFmtId="0" fontId="4" fillId="4" borderId="16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2" fontId="6" fillId="8" borderId="6" xfId="0" applyNumberFormat="1" applyFont="1" applyFill="1" applyBorder="1" applyAlignment="1">
      <alignment horizontal="center" vertical="center"/>
    </xf>
    <xf numFmtId="2" fontId="6" fillId="10" borderId="6" xfId="0" applyNumberFormat="1" applyFont="1" applyFill="1" applyBorder="1" applyAlignment="1">
      <alignment horizontal="center" vertical="center"/>
    </xf>
    <xf numFmtId="2" fontId="6" fillId="9" borderId="6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2" fontId="6" fillId="7" borderId="6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4" fillId="4" borderId="0" xfId="0" applyFont="1" applyFill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2" fontId="5" fillId="5" borderId="12" xfId="0" applyNumberFormat="1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2" fontId="5" fillId="5" borderId="7" xfId="0" applyNumberFormat="1" applyFont="1" applyFill="1" applyBorder="1" applyAlignment="1">
      <alignment horizontal="center"/>
    </xf>
    <xf numFmtId="44" fontId="5" fillId="5" borderId="8" xfId="0" applyNumberFormat="1" applyFont="1" applyFill="1" applyBorder="1" applyAlignment="1">
      <alignment horizontal="center"/>
    </xf>
    <xf numFmtId="44" fontId="5" fillId="5" borderId="12" xfId="0" applyNumberFormat="1" applyFont="1" applyFill="1" applyBorder="1" applyAlignment="1">
      <alignment horizontal="center"/>
    </xf>
    <xf numFmtId="44" fontId="5" fillId="5" borderId="13" xfId="0" applyNumberFormat="1" applyFont="1" applyFill="1" applyBorder="1" applyAlignment="1">
      <alignment horizontal="center"/>
    </xf>
    <xf numFmtId="44" fontId="5" fillId="5" borderId="12" xfId="0" applyNumberFormat="1" applyFont="1" applyFill="1" applyBorder="1" applyAlignment="1">
      <alignment horizontal="center" vertical="center"/>
    </xf>
    <xf numFmtId="44" fontId="5" fillId="5" borderId="8" xfId="0" applyNumberFormat="1" applyFont="1" applyFill="1" applyBorder="1" applyAlignment="1">
      <alignment horizontal="center" vertical="center"/>
    </xf>
    <xf numFmtId="44" fontId="5" fillId="5" borderId="13" xfId="0" applyNumberFormat="1" applyFont="1" applyFill="1" applyBorder="1" applyAlignment="1">
      <alignment horizontal="center" vertical="center"/>
    </xf>
    <xf numFmtId="0" fontId="21" fillId="5" borderId="0" xfId="0" applyFont="1" applyFill="1" applyAlignment="1">
      <alignment horizontal="center" vertical="center" wrapText="1"/>
    </xf>
    <xf numFmtId="0" fontId="15" fillId="5" borderId="0" xfId="0" applyFont="1" applyFill="1" applyAlignment="1">
      <alignment horizontal="left" vertical="top" wrapText="1"/>
    </xf>
    <xf numFmtId="0" fontId="15" fillId="5" borderId="0" xfId="0" applyFont="1" applyFill="1" applyAlignment="1">
      <alignment horizontal="left" vertical="center" wrapText="1"/>
    </xf>
    <xf numFmtId="0" fontId="4" fillId="13" borderId="0" xfId="0" applyFont="1" applyFill="1" applyAlignment="1">
      <alignment horizontal="center" vertical="center" wrapText="1"/>
    </xf>
  </cellXfs>
  <cellStyles count="3">
    <cellStyle name="Moneda" xfId="1" builtinId="4"/>
    <cellStyle name="Normal" xfId="0" builtinId="0"/>
    <cellStyle name="Porcentaje" xfId="2" builtinId="5"/>
  </cellStyles>
  <dxfs count="31">
    <dxf>
      <font>
        <color rgb="FF143778"/>
      </font>
      <fill>
        <patternFill>
          <bgColor rgb="FF143778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143778"/>
      </font>
      <fill>
        <patternFill>
          <bgColor rgb="FF143778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326EBE"/>
      </font>
      <fill>
        <patternFill>
          <bgColor rgb="FF326EBE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326EBE"/>
      </font>
      <fill>
        <patternFill>
          <bgColor rgb="FF326EBE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73A5DC"/>
      </font>
      <fill>
        <patternFill>
          <bgColor rgb="FF73A5DC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73A5DC"/>
      </font>
      <fill>
        <patternFill>
          <bgColor rgb="FF73A5DC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B4D1F0"/>
      </font>
      <fill>
        <patternFill>
          <bgColor rgb="FFB4D1F0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B4D1F0"/>
      </font>
      <fill>
        <patternFill>
          <bgColor rgb="FFB4D1F0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143778"/>
      </font>
      <fill>
        <patternFill>
          <bgColor rgb="FF143778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143778"/>
      </font>
      <fill>
        <patternFill>
          <bgColor rgb="FF143778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326EBE"/>
      </font>
      <fill>
        <patternFill>
          <bgColor rgb="FF326EBE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326EBE"/>
      </font>
      <fill>
        <patternFill>
          <bgColor rgb="FF326EBE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73A5DC"/>
      </font>
      <fill>
        <patternFill>
          <bgColor rgb="FF73A5DC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73A5DC"/>
      </font>
      <fill>
        <patternFill>
          <bgColor rgb="FF73A5DC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B4D1F0"/>
      </font>
      <fill>
        <patternFill>
          <bgColor rgb="FFB4D1F0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B4D1F0"/>
      </font>
      <fill>
        <patternFill>
          <bgColor rgb="FFB4D1F0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143778"/>
      </font>
      <fill>
        <patternFill>
          <bgColor rgb="FF143778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326EBE"/>
      </font>
      <fill>
        <patternFill>
          <bgColor rgb="FF326EBE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73A5DC"/>
      </font>
      <fill>
        <patternFill>
          <bgColor rgb="FF73A5DC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B4D1F0"/>
      </font>
      <fill>
        <patternFill>
          <bgColor rgb="FFB4D1F0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143778"/>
      </font>
      <fill>
        <patternFill>
          <bgColor rgb="FF143778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326EBE"/>
      </font>
      <fill>
        <patternFill>
          <bgColor rgb="FF326EBE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73A5DC"/>
      </font>
      <fill>
        <patternFill>
          <bgColor rgb="FF73A5DC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B4D1F0"/>
      </font>
      <fill>
        <patternFill>
          <bgColor rgb="FFB4D1F0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color rgb="FFE1EDFA"/>
      </font>
      <fill>
        <patternFill>
          <bgColor rgb="FFE1EDFA"/>
        </patternFill>
      </fill>
      <border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</dxfs>
  <tableStyles count="0" defaultTableStyle="TableStyleMedium9" defaultPivotStyle="PivotStyleLight16"/>
  <colors>
    <mruColors>
      <color rgb="FF143778"/>
      <color rgb="FFE1ED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Puntaje</c:v>
          </c:tx>
          <c:dPt>
            <c:idx val="0"/>
            <c:bubble3D val="0"/>
            <c:spPr>
              <a:solidFill>
                <a:srgbClr val="143778"/>
              </a:solidFill>
            </c:spPr>
            <c:extLst>
              <c:ext xmlns:c16="http://schemas.microsoft.com/office/drawing/2014/chart" uri="{C3380CC4-5D6E-409C-BE32-E72D297353CC}">
                <c16:uniqueId val="{00000000-354E-4AE5-833D-75D6D41F42C0}"/>
              </c:ext>
            </c:extLst>
          </c:dPt>
          <c:dPt>
            <c:idx val="1"/>
            <c:bubble3D val="0"/>
            <c:spPr>
              <a:solidFill>
                <a:srgbClr val="E1EDFA"/>
              </a:solidFill>
            </c:spPr>
            <c:extLst>
              <c:ext xmlns:c16="http://schemas.microsoft.com/office/drawing/2014/chart" uri="{C3380CC4-5D6E-409C-BE32-E72D297353CC}">
                <c16:uniqueId val="{00000001-354E-4AE5-833D-75D6D41F42C0}"/>
              </c:ext>
            </c:extLst>
          </c:dPt>
          <c:cat>
            <c:strRef>
              <c:f>ChartData!$A$1:$B$1</c:f>
              <c:strCache>
                <c:ptCount val="2"/>
                <c:pt idx="0">
                  <c:v>Score</c:v>
                </c:pt>
                <c:pt idx="1">
                  <c:v>Remaining</c:v>
                </c:pt>
              </c:strCache>
            </c:strRef>
          </c:cat>
          <c:val>
            <c:numRef>
              <c:f>ChartData!$A$2:$B$2</c:f>
              <c:numCache>
                <c:formatCode>General</c:formatCode>
                <c:ptCount val="2"/>
                <c:pt idx="0">
                  <c:v>90.720000000000013</c:v>
                </c:pt>
                <c:pt idx="1">
                  <c:v>9.2799999999999869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4E-4AE5-833D-75D6D41F4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Poppins" panose="00000500000000000000" pitchFamily="2" charset="0"/>
                <a:ea typeface="+mn-ea"/>
                <a:cs typeface="Poppins" panose="00000500000000000000" pitchFamily="2" charset="0"/>
              </a:defRPr>
            </a:pPr>
            <a:r>
              <a:rPr lang="es-CO"/>
              <a:t>Grado de cumplimiento del dominio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baseline="0">
              <a:solidFill>
                <a:schemeClr val="tx1">
                  <a:lumMod val="65000"/>
                  <a:lumOff val="35000"/>
                </a:schemeClr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2">
                <a:lumMod val="75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  <c:invertIfNegative val="0"/>
          <c:val>
            <c:numRef>
              <c:f>'MCDA Advanced Dashboard'!$G$16</c:f>
              <c:numCache>
                <c:formatCode>0.00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EA-49DC-ADB6-7D55CB0CF0E1}"/>
            </c:ext>
          </c:extLst>
        </c:ser>
        <c:ser>
          <c:idx val="2"/>
          <c:order val="2"/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accent3">
                  <a:lumMod val="75000"/>
                </a:schemeClr>
              </a:solidFill>
            </a:ln>
            <a:effectLst/>
          </c:spPr>
          <c:invertIfNegative val="0"/>
          <c:val>
            <c:numRef>
              <c:f>'MCDA Advanced Dashboard'!$G$19</c:f>
              <c:numCache>
                <c:formatCode>0.00</c:formatCode>
                <c:ptCount val="1"/>
                <c:pt idx="0">
                  <c:v>90.893617021276611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EA-49DC-ADB6-7D55CB0CF0E1}"/>
            </c:ext>
          </c:extLst>
        </c:ser>
        <c:ser>
          <c:idx val="6"/>
          <c:order val="6"/>
          <c:spPr>
            <a:solidFill>
              <a:schemeClr val="accent5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Mod val="75000"/>
                </a:schemeClr>
              </a:solidFill>
            </a:ln>
            <a:effectLst/>
          </c:spPr>
          <c:invertIfNegative val="0"/>
          <c:val>
            <c:numRef>
              <c:f>'MCDA Advanced Dashboard'!$G$25</c:f>
              <c:numCache>
                <c:formatCode>0.00</c:formatCode>
                <c:ptCount val="1"/>
                <c:pt idx="0">
                  <c:v>54.54545454545454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EA-49DC-ADB6-7D55CB0CF0E1}"/>
            </c:ext>
          </c:extLst>
        </c:ser>
        <c:ser>
          <c:idx val="8"/>
          <c:order val="8"/>
          <c:spPr>
            <a:solidFill>
              <a:schemeClr val="accent5">
                <a:lumMod val="75000"/>
              </a:schemeClr>
            </a:solidFill>
            <a:ln>
              <a:solidFill>
                <a:schemeClr val="accent3">
                  <a:lumMod val="60000"/>
                  <a:lumMod val="75000"/>
                </a:schemeClr>
              </a:solidFill>
            </a:ln>
            <a:effectLst/>
          </c:spPr>
          <c:invertIfNegative val="0"/>
          <c:val>
            <c:numRef>
              <c:f>'MCDA Advanced Dashboard'!$G$28</c:f>
              <c:numCache>
                <c:formatCode>0.00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CEA-49DC-ADB6-7D55CB0CF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786703"/>
        <c:axId val="30800431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solidFill>
                      <a:schemeClr val="accent2">
                        <a:lumMod val="75000"/>
                      </a:schemeClr>
                    </a:solidFill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'MCDA Advanced Dashboard'!$G$17</c15:sqref>
                        </c15:formulaRef>
                      </c:ext>
                    </c:extLst>
                    <c:numCache>
                      <c:formatCode>0.00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0CEA-49DC-ADB6-7D55CB0CF0E1}"/>
                  </c:ext>
                </c:extLst>
              </c15:ser>
            </c15:filteredBarSeries>
            <c15:filteredBarSeries>
              <c15:ser>
                <c:idx val="3"/>
                <c:order val="3"/>
                <c:spPr>
                  <a:solidFill>
                    <a:schemeClr val="accent4"/>
                  </a:solidFill>
                  <a:ln>
                    <a:solidFill>
                      <a:schemeClr val="accent4">
                        <a:lumMod val="75000"/>
                      </a:schemeClr>
                    </a:solidFill>
                  </a:ln>
                  <a:effectLst/>
                </c:spPr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'MCDA Advanced Dashboard'!$G$21</c15:sqref>
                        </c15:formulaRef>
                      </c:ext>
                    </c:extLst>
                    <c:numCache>
                      <c:formatCode>0.00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CEA-49DC-ADB6-7D55CB0CF0E1}"/>
                  </c:ext>
                </c:extLst>
              </c15:ser>
            </c15:filteredBarSeries>
            <c15:filteredBarSeries>
              <c15:ser>
                <c:idx val="4"/>
                <c:order val="4"/>
                <c:spPr>
                  <a:solidFill>
                    <a:schemeClr val="accent5"/>
                  </a:solidFill>
                  <a:ln>
                    <a:solidFill>
                      <a:schemeClr val="accent5">
                        <a:lumMod val="75000"/>
                      </a:schemeClr>
                    </a:solidFill>
                  </a:ln>
                  <a:effectLst/>
                </c:spPr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'MCDA Advanced Dashboard'!$G$22</c15:sqref>
                        </c15:formulaRef>
                      </c:ext>
                    </c:extLst>
                    <c:numCache>
                      <c:formatCode>0.00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CEA-49DC-ADB6-7D55CB0CF0E1}"/>
                  </c:ext>
                </c:extLst>
              </c15:ser>
            </c15:filteredBarSeries>
            <c15:filteredBar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solidFill>
                      <a:schemeClr val="accent6">
                        <a:lumMod val="75000"/>
                      </a:schemeClr>
                    </a:solidFill>
                  </a:ln>
                  <a:effectLst/>
                </c:spPr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'MCDA Advanced Dashboard'!$G$23</c15:sqref>
                        </c15:formulaRef>
                      </c:ext>
                    </c:extLst>
                    <c:numCache>
                      <c:formatCode>0.00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CEA-49DC-ADB6-7D55CB0CF0E1}"/>
                  </c:ext>
                </c:extLst>
              </c15:ser>
            </c15:filteredBarSeries>
            <c15:filteredBarSeries>
              <c15:ser>
                <c:idx val="7"/>
                <c:order val="7"/>
                <c:spPr>
                  <a:solidFill>
                    <a:schemeClr val="accent2">
                      <a:lumMod val="60000"/>
                    </a:schemeClr>
                  </a:solidFill>
                  <a:ln>
                    <a:solidFill>
                      <a:schemeClr val="accent2">
                        <a:lumMod val="60000"/>
                        <a:lumMod val="75000"/>
                      </a:schemeClr>
                    </a:solidFill>
                  </a:ln>
                  <a:effectLst/>
                </c:spPr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'MCDA Advanced Dashboard'!$G$26</c15:sqref>
                        </c15:formulaRef>
                      </c:ext>
                    </c:extLst>
                    <c:numCache>
                      <c:formatCode>0.00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CEA-49DC-ADB6-7D55CB0CF0E1}"/>
                  </c:ext>
                </c:extLst>
              </c15:ser>
            </c15:filteredBarSeries>
            <c15:filteredBarSeries>
              <c15:ser>
                <c:idx val="9"/>
                <c:order val="9"/>
                <c:spPr>
                  <a:solidFill>
                    <a:schemeClr val="accent4">
                      <a:lumMod val="60000"/>
                    </a:schemeClr>
                  </a:solidFill>
                  <a:ln>
                    <a:solidFill>
                      <a:schemeClr val="accent4">
                        <a:lumMod val="60000"/>
                        <a:lumMod val="75000"/>
                      </a:schemeClr>
                    </a:solidFill>
                  </a:ln>
                  <a:effectLst/>
                </c:spPr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'MCDA Advanced Dashboard'!$G$29</c15:sqref>
                        </c15:formulaRef>
                      </c:ext>
                    </c:extLst>
                    <c:numCache>
                      <c:formatCode>0.00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CEA-49DC-ADB6-7D55CB0CF0E1}"/>
                  </c:ext>
                </c:extLst>
              </c15:ser>
            </c15:filteredBarSeries>
          </c:ext>
        </c:extLst>
      </c:barChart>
      <c:catAx>
        <c:axId val="307867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0800431"/>
        <c:crosses val="autoZero"/>
        <c:auto val="1"/>
        <c:lblAlgn val="ctr"/>
        <c:lblOffset val="100"/>
        <c:noMultiLvlLbl val="0"/>
      </c:catAx>
      <c:valAx>
        <c:axId val="30800431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Poppins" panose="00000500000000000000" pitchFamily="2" charset="0"/>
                <a:ea typeface="+mn-ea"/>
                <a:cs typeface="Poppins" panose="00000500000000000000" pitchFamily="2" charset="0"/>
              </a:defRPr>
            </a:pPr>
            <a:endParaRPr lang="es-CO"/>
          </a:p>
        </c:txPr>
        <c:crossAx val="30786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 w="152400" h="50800" prst="softRound"/>
      <a:bevelB prst="convex"/>
    </a:sp3d>
  </c:spPr>
  <c:txPr>
    <a:bodyPr/>
    <a:lstStyle/>
    <a:p>
      <a:pPr>
        <a:defRPr>
          <a:latin typeface="Poppins" panose="00000500000000000000" pitchFamily="2" charset="0"/>
          <a:cs typeface="Poppins" panose="00000500000000000000" pitchFamily="2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2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  <a:scene3d>
        <a:camera prst="orthographicFront"/>
        <a:lightRig rig="threePt" dir="t"/>
      </a:scene3d>
      <a:sp3d prstMaterial="translucentPowder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  <a:ln>
        <a:solidFill>
          <a:schemeClr val="phClr">
            <a:lumMod val="7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lt1"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trlProps/ctrlProp1.xml><?xml version="1.0" encoding="utf-8"?>
<formControlPr xmlns="http://schemas.microsoft.com/office/spreadsheetml/2009/9/main" objectType="CheckBox" checked="Checked" fmlaLink="$P$11" lockText="1" noThreeD="1"/>
</file>

<file path=xl/ctrlProps/ctrlProp2.xml><?xml version="1.0" encoding="utf-8"?>
<formControlPr xmlns="http://schemas.microsoft.com/office/spreadsheetml/2009/9/main" objectType="CheckBox" checked="Checked" fmlaLink="$P$12" lockText="1" noThreeD="1"/>
</file>

<file path=xl/ctrlProps/ctrlProp3.xml><?xml version="1.0" encoding="utf-8"?>
<formControlPr xmlns="http://schemas.microsoft.com/office/spreadsheetml/2009/9/main" objectType="Button" lockText="1"/>
</file>

<file path=xl/diagrams/_rels/data1.xml.rels><?xml version="1.0" encoding="UTF-8" standalone="yes"?>
<Relationships xmlns="http://schemas.openxmlformats.org/package/2006/relationships"><Relationship Id="rId8" Type="http://schemas.openxmlformats.org/officeDocument/2006/relationships/hyperlink" Target="#'Definiciones '!C6"/><Relationship Id="rId3" Type="http://schemas.openxmlformats.org/officeDocument/2006/relationships/hyperlink" Target="#'Definiciones '!C5"/><Relationship Id="rId7" Type="http://schemas.openxmlformats.org/officeDocument/2006/relationships/hyperlink" Target="#'Definiciones '!C12"/><Relationship Id="rId2" Type="http://schemas.openxmlformats.org/officeDocument/2006/relationships/hyperlink" Target="#'Definiciones '!C8"/><Relationship Id="rId1" Type="http://schemas.openxmlformats.org/officeDocument/2006/relationships/hyperlink" Target="#'Definiciones '!C7"/><Relationship Id="rId6" Type="http://schemas.openxmlformats.org/officeDocument/2006/relationships/hyperlink" Target="#'Definiciones '!C11"/><Relationship Id="rId5" Type="http://schemas.openxmlformats.org/officeDocument/2006/relationships/hyperlink" Target="#'Definiciones '!C10"/><Relationship Id="rId10" Type="http://schemas.openxmlformats.org/officeDocument/2006/relationships/hyperlink" Target="#'Definiciones '!C14"/><Relationship Id="rId4" Type="http://schemas.openxmlformats.org/officeDocument/2006/relationships/hyperlink" Target="#'Definiciones '!C9"/><Relationship Id="rId9" Type="http://schemas.openxmlformats.org/officeDocument/2006/relationships/hyperlink" Target="#'Definiciones '!C13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0_3">
  <dgm:title val=""/>
  <dgm:desc val=""/>
  <dgm:catLst>
    <dgm:cat type="mainScheme" pri="10300"/>
  </dgm:catLst>
  <dgm:styleLbl name="node0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lignNode1">
    <dgm:fillClrLst meth="repeat">
      <a:schemeClr val="dk2"/>
    </dgm:fillClrLst>
    <dgm:linClrLst meth="repeat">
      <a:schemeClr val="dk2"/>
    </dgm:linClrLst>
    <dgm:effectClrLst/>
    <dgm:txLinClrLst/>
    <dgm:txFillClrLst/>
    <dgm:txEffectClrLst/>
  </dgm:styleLbl>
  <dgm:styleLbl name="node1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lnNode1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vennNode1">
    <dgm:fillClrLst meth="repeat">
      <a:schemeClr val="dk2">
        <a:alpha val="50000"/>
      </a:schemeClr>
    </dgm:fillClrLst>
    <dgm:linClrLst meth="repeat">
      <a:schemeClr val="lt2"/>
    </dgm:linClrLst>
    <dgm:effectClrLst/>
    <dgm:txLinClrLst/>
    <dgm:txFillClrLst/>
    <dgm:txEffectClrLst/>
  </dgm:styleLbl>
  <dgm:styleLbl name="node2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node3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node4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fgImgPlace1">
    <dgm:fillClrLst meth="repeat">
      <a:schemeClr val="dk2">
        <a:tint val="50000"/>
      </a:schemeClr>
    </dgm:fillClrLst>
    <dgm:linClrLst meth="repeat">
      <a:schemeClr val="lt2"/>
    </dgm:linClrLst>
    <dgm:effectClrLst/>
    <dgm:txLinClrLst/>
    <dgm:txFillClrLst meth="repeat">
      <a:schemeClr val="lt2"/>
    </dgm:txFillClrLst>
    <dgm:txEffectClrLst/>
  </dgm:styleLbl>
  <dgm:styleLbl name="alignImgPlace1">
    <dgm:fillClrLst meth="repeat">
      <a:schemeClr val="dk2">
        <a:tint val="50000"/>
      </a:schemeClr>
    </dgm:fillClrLst>
    <dgm:linClrLst meth="repeat">
      <a:schemeClr val="dk2">
        <a:shade val="80000"/>
      </a:schemeClr>
    </dgm:linClrLst>
    <dgm:effectClrLst/>
    <dgm:txLinClrLst/>
    <dgm:txFillClrLst meth="repeat">
      <a:schemeClr val="lt2"/>
    </dgm:txFillClrLst>
    <dgm:txEffectClrLst/>
  </dgm:styleLbl>
  <dgm:styleLbl name="bgImgPlace1">
    <dgm:fillClrLst meth="repeat">
      <a:schemeClr val="dk2">
        <a:tint val="50000"/>
      </a:schemeClr>
    </dgm:fillClrLst>
    <dgm:linClrLst meth="repeat">
      <a:schemeClr val="dk2">
        <a:shade val="80000"/>
      </a:schemeClr>
    </dgm:linClrLst>
    <dgm:effectClrLst/>
    <dgm:txLinClrLst/>
    <dgm:txFillClrLst meth="repeat">
      <a:schemeClr val="lt2"/>
    </dgm:txFillClrLst>
    <dgm:txEffectClrLst/>
  </dgm:styleLbl>
  <dgm:styleLbl name="sib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callout">
    <dgm:fillClrLst meth="repeat">
      <a:schemeClr val="dk2"/>
    </dgm:fillClrLst>
    <dgm:linClrLst meth="repeat">
      <a:schemeClr val="dk2">
        <a:tint val="50000"/>
      </a:schemeClr>
    </dgm:linClrLst>
    <dgm:effectClrLst/>
    <dgm:txLinClrLst/>
    <dgm:txFillClrLst meth="repeat">
      <a:schemeClr val="lt2"/>
    </dgm:txFillClrLst>
    <dgm:txEffectClrLst/>
  </dgm:styleLbl>
  <dgm:styleLbl name="asst0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sst1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sst2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sst3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asst4">
    <dgm:fillClrLst meth="repeat">
      <a:schemeClr val="dk2"/>
    </dgm:fillClrLst>
    <dgm:linClrLst meth="repeat">
      <a:schemeClr val="lt2"/>
    </dgm:linClrLst>
    <dgm:effectClrLst/>
    <dgm:txLinClrLst/>
    <dgm:txFillClrLst/>
    <dgm:txEffectClrLst/>
  </dgm:styleLbl>
  <dgm:styleLbl name="parChTrans2D1">
    <dgm:fillClrLst meth="repeat">
      <a:schemeClr val="dk2">
        <a:tint val="60000"/>
      </a:schemeClr>
    </dgm:fillClrLst>
    <dgm:linClrLst meth="repeat">
      <a:schemeClr val="dk2">
        <a:tint val="60000"/>
      </a:schemeClr>
    </dgm:linClrLst>
    <dgm:effectClrLst/>
    <dgm:txLinClrLst/>
    <dgm:txFillClrLst meth="repeat">
      <a:schemeClr val="lt2"/>
    </dgm:txFillClrLst>
    <dgm:txEffectClrLst/>
  </dgm:styleLbl>
  <dgm:styleLbl name="parChTrans2D2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parChTrans2D3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parChTrans2D4">
    <dgm:fillClrLst meth="repeat">
      <a:schemeClr val="dk2"/>
    </dgm:fillClrLst>
    <dgm:linClrLst meth="repeat">
      <a:schemeClr val="dk2"/>
    </dgm:linClrLst>
    <dgm:effectClrLst/>
    <dgm:txLinClrLst/>
    <dgm:txFillClrLst meth="repeat">
      <a:schemeClr val="lt2"/>
    </dgm:txFillClrLst>
    <dgm:txEffectClrLst/>
  </dgm:styleLbl>
  <dgm:styleLbl name="parChTrans1D1">
    <dgm:fillClrLst meth="repeat">
      <a:schemeClr val="dk2"/>
    </dgm:fillClrLst>
    <dgm:linClrLst meth="repeat">
      <a:schemeClr val="dk2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dk2"/>
    </dgm:fillClrLst>
    <dgm:linClrLst meth="repeat">
      <a:schemeClr val="dk2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dk2"/>
    </dgm:fillClrLst>
    <dgm:linClrLst meth="repeat">
      <a:schemeClr val="dk2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dk2"/>
    </dgm:fillClrLst>
    <dgm:linClrLst meth="repeat">
      <a:schemeClr val="dk2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2">
        <a:alpha val="4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2"/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2"/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2"/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dk2">
        <a:alpha val="90000"/>
        <a:tint val="40000"/>
      </a:schemeClr>
    </dgm:fillClrLst>
    <dgm:linClrLst meth="repeat">
      <a:schemeClr val="dk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dk2">
        <a:alpha val="90000"/>
        <a:tint val="40000"/>
      </a:schemeClr>
    </dgm:fillClrLst>
    <dgm:linClrLst meth="repeat">
      <a:schemeClr val="dk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dk2">
        <a:alpha val="90000"/>
        <a:tint val="40000"/>
      </a:schemeClr>
    </dgm:fillClrLst>
    <dgm:linClrLst meth="repeat">
      <a:schemeClr val="dk2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2">
        <a:alpha val="9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dk2">
        <a:tint val="40000"/>
      </a:schemeClr>
    </dgm:fillClrLst>
    <dgm:linClrLst meth="repeat">
      <a:schemeClr val="dk2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dk2">
        <a:shade val="80000"/>
      </a:schemeClr>
    </dgm:fillClrLst>
    <dgm:linClrLst meth="repeat">
      <a:schemeClr val="dk2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dk2">
        <a:tint val="50000"/>
        <a:alpha val="40000"/>
      </a:schemeClr>
    </dgm:fillClrLst>
    <dgm:linClrLst meth="repeat">
      <a:schemeClr val="dk2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dk2">
        <a:tint val="60000"/>
      </a:schemeClr>
    </dgm:fillClrLst>
    <dgm:linClrLst meth="repeat">
      <a:schemeClr val="lt2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2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113A2C7B-4FE8-4DC4-9AA5-45D4993DD66B}" type="doc">
      <dgm:prSet loTypeId="urn:microsoft.com/office/officeart/2005/8/layout/radial1" loCatId="cycle" qsTypeId="urn:microsoft.com/office/officeart/2005/8/quickstyle/3d3" qsCatId="3D" csTypeId="urn:microsoft.com/office/officeart/2005/8/colors/accent0_3" csCatId="mainScheme" phldr="1"/>
      <dgm:spPr/>
      <dgm:t>
        <a:bodyPr/>
        <a:lstStyle/>
        <a:p>
          <a:endParaRPr lang="es-CO"/>
        </a:p>
      </dgm:t>
    </dgm:pt>
    <dgm:pt modelId="{13E95CCA-177B-4FBE-A3DB-A6965707891A}">
      <dgm:prSet phldrT="[Texto]" custT="1"/>
      <dgm:spPr/>
      <dgm:t>
        <a:bodyPr/>
        <a:lstStyle/>
        <a:p>
          <a:r>
            <a:rPr lang="es-CO" sz="900" b="1" dirty="0">
              <a:latin typeface="Poppins" panose="00000500000000000000" pitchFamily="2" charset="0"/>
              <a:cs typeface="Poppins" panose="00000500000000000000" pitchFamily="2" charset="0"/>
            </a:rPr>
            <a:t>Valor</a:t>
          </a:r>
        </a:p>
      </dgm:t>
    </dgm:pt>
    <dgm:pt modelId="{254A917C-7F73-4B19-B2AD-85BE89B2C770}" type="parTrans" cxnId="{583D62BE-864E-4DAF-97AB-0050E67B3531}">
      <dgm:prSet/>
      <dgm:spPr/>
      <dgm:t>
        <a:bodyPr/>
        <a:lstStyle/>
        <a:p>
          <a:endParaRPr lang="es-CO" sz="900" b="1">
            <a:solidFill>
              <a:schemeClr val="tx1"/>
            </a:solidFill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02B830B3-3D88-4B30-87C6-969368206C99}" type="sibTrans" cxnId="{583D62BE-864E-4DAF-97AB-0050E67B3531}">
      <dgm:prSet/>
      <dgm:spPr/>
      <dgm:t>
        <a:bodyPr/>
        <a:lstStyle/>
        <a:p>
          <a:endParaRPr lang="es-CO" sz="900" b="1">
            <a:solidFill>
              <a:schemeClr val="tx1"/>
            </a:solidFill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888615A7-5A8E-4ED6-8C99-09A5710B1F21}">
      <dgm:prSet phldrT="[Texto]" custT="1"/>
      <dgm:spPr>
        <a:solidFill>
          <a:srgbClr val="4BACC6">
            <a:lumMod val="40000"/>
            <a:lumOff val="60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gm:spPr>
      <dgm:t>
        <a:bodyPr spcFirstLastPara="0" vert="horz" wrap="square" lIns="7620" tIns="7620" rIns="7620" bIns="7620" numCol="1" spcCol="1270" anchor="ctr" anchorCtr="0"/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Desprendimiento de retina 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"/>
          </dgm14:cNvPr>
        </a:ext>
      </dgm:extLst>
    </dgm:pt>
    <dgm:pt modelId="{84D28295-F7D0-4029-8588-B33D08B3C156}" type="parTrans" cxnId="{36FB751E-C643-4F9E-943F-65BE371D3D53}">
      <dgm:prSet custT="1"/>
      <dgm:spPr/>
      <dgm:t>
        <a:bodyPr/>
        <a:lstStyle/>
        <a:p>
          <a:endParaRPr lang="es-CO" sz="900" b="1">
            <a:solidFill>
              <a:schemeClr val="tx1"/>
            </a:solidFill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CB2CB155-DEC4-46D8-B617-D6B1846A2033}" type="sibTrans" cxnId="{36FB751E-C643-4F9E-943F-65BE371D3D53}">
      <dgm:prSet/>
      <dgm:spPr/>
      <dgm:t>
        <a:bodyPr/>
        <a:lstStyle/>
        <a:p>
          <a:endParaRPr lang="es-CO" sz="900" b="1">
            <a:solidFill>
              <a:schemeClr val="tx1"/>
            </a:solidFill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189365EA-D99F-4681-99DF-987420B4E522}">
      <dgm:prSet phldrT="[Texto]" custT="1"/>
      <dgm:spPr>
        <a:solidFill>
          <a:srgbClr val="4BACC6">
            <a:lumMod val="40000"/>
            <a:lumOff val="60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gm:spPr>
      <dgm:t>
        <a:bodyPr spcFirstLastPara="0" vert="horz" wrap="square" lIns="7620" tIns="7620" rIns="7620" bIns="7620" numCol="1" spcCol="1270" anchor="ctr" anchorCtr="0"/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Infarto agudo de miocardio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4F174036-2877-43DE-816C-735F269B9E21}" type="parTrans" cxnId="{69B2D13B-4478-459F-A0B6-6A1CF3291A46}">
      <dgm:prSet custT="1"/>
      <dgm:spPr/>
      <dgm:t>
        <a:bodyPr/>
        <a:lstStyle/>
        <a:p>
          <a:endParaRPr lang="es-CO" sz="900" b="1">
            <a:solidFill>
              <a:schemeClr val="tx1"/>
            </a:solidFill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0517C887-C34A-4E87-8A2B-E20F718AB229}" type="sibTrans" cxnId="{69B2D13B-4478-459F-A0B6-6A1CF3291A46}">
      <dgm:prSet/>
      <dgm:spPr/>
      <dgm:t>
        <a:bodyPr/>
        <a:lstStyle/>
        <a:p>
          <a:endParaRPr lang="es-CO" sz="900" b="1">
            <a:solidFill>
              <a:schemeClr val="tx1"/>
            </a:solidFill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6443374D-ABEA-48F4-AD8D-80947E0B0A46}">
      <dgm:prSet phldrT="[Texto]" custT="1"/>
      <dgm:spPr>
        <a:solidFill>
          <a:srgbClr val="143778"/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gm:spPr>
      <dgm:t>
        <a:bodyPr spcFirstLastPara="0" vert="horz" wrap="square" lIns="7620" tIns="7620" rIns="7620" bIns="7620" numCol="1" spcCol="1270" anchor="ctr" anchorCtr="0"/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solidFill>
                <a:sysClr val="window" lastClr="FFFFFF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Cambio medio en (BCVA)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55C50252-36F7-4B30-AE34-B5D894DEDBA5}" type="parTrans" cxnId="{D7E9484C-2AF3-46D1-8F0F-269D1DB8DDC5}">
      <dgm:prSet custT="1"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A8D5B15C-49A8-4564-A445-98EAE4BF15F4}" type="sibTrans" cxnId="{D7E9484C-2AF3-46D1-8F0F-269D1DB8DDC5}">
      <dgm:prSet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789DA829-F7B3-486A-8DEE-6D455D944DCE}">
      <dgm:prSet phldrT="[Texto]" custT="1"/>
      <dgm:spPr>
        <a:solidFill>
          <a:srgbClr val="4BACC6">
            <a:lumMod val="40000"/>
            <a:lumOff val="60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gm:spPr>
      <dgm:t>
        <a:bodyPr spcFirstLastPara="0" vert="horz" wrap="square" lIns="7620" tIns="7620" rIns="7620" bIns="7620" numCol="1" spcCol="1270" anchor="ctr" anchorCtr="0"/>
        <a:lstStyle/>
        <a:p>
          <a:r>
            <a:rPr lang="es-CO" sz="900" b="1" kern="1200" dirty="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Vitreitis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3E8BFED0-AAA0-4084-81E2-916272689B80}" type="parTrans" cxnId="{FA95DE9C-AA3C-422B-9D95-67DA3937BC81}">
      <dgm:prSet custT="1"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B9121F74-1803-4761-8696-927BC8BA7D0F}" type="sibTrans" cxnId="{FA95DE9C-AA3C-422B-9D95-67DA3937BC81}">
      <dgm:prSet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990F8C8D-67EE-4CA9-893D-707AFCB30DB0}">
      <dgm:prSet phldrT="[Texto]" custT="1"/>
      <dgm:spPr>
        <a:solidFill>
          <a:srgbClr val="4BACC6">
            <a:lumMod val="40000"/>
            <a:lumOff val="60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gm:spPr>
      <dgm:t>
        <a:bodyPr spcFirstLastPara="0" vert="horz" wrap="square" lIns="7620" tIns="7620" rIns="7620" bIns="7620" numCol="1" spcCol="1270" anchor="ctr" anchorCtr="0"/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Supresión sistémica de VEGF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EA0B72A7-4248-4606-BEDA-B4A2174DBD62}" type="parTrans" cxnId="{6D3F8B78-DC4E-48A3-979F-A33FCC3874E0}">
      <dgm:prSet custT="1"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378A1C52-DF3F-4770-B145-15EA19BD8A3F}" type="sibTrans" cxnId="{6D3F8B78-DC4E-48A3-979F-A33FCC3874E0}">
      <dgm:prSet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C0959E24-B0C6-4921-AF82-026AD8573F4C}">
      <dgm:prSet phldrT="[Texto]" custT="1"/>
      <dgm:spPr>
        <a:solidFill>
          <a:srgbClr val="4BACC6">
            <a:lumMod val="75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gm:spPr>
      <dgm:t>
        <a:bodyPr spcFirstLastPara="0" vert="horz" wrap="square" lIns="5715" tIns="5715" rIns="5715" bIns="5715" numCol="1" spcCol="1270" anchor="ctr" anchorCtr="0"/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Calidad de vida</a:t>
          </a:r>
        </a:p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900" b="1" kern="1200" dirty="0">
            <a:solidFill>
              <a:sysClr val="windowText" lastClr="000000"/>
            </a:solidFill>
            <a:latin typeface="Poppins" panose="00000500000000000000" pitchFamily="2" charset="0"/>
            <a:ea typeface="+mn-ea"/>
            <a:cs typeface="Poppins" panose="00000500000000000000" pitchFamily="2" charset="0"/>
          </a:endParaRP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BA71876F-A685-44D6-B0F8-F8E34E2823E8}" type="parTrans" cxnId="{DE7F1B94-E381-4722-9CF1-AD9DBCA2F533}">
      <dgm:prSet custT="1"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E856C8F8-6E38-45DA-B4B1-800D6F46173D}" type="sibTrans" cxnId="{DE7F1B94-E381-4722-9CF1-AD9DBCA2F533}">
      <dgm:prSet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143AB78E-568C-4CE6-8F58-1DD2C36AF0C3}">
      <dgm:prSet phldrT="[Texto]" custT="1"/>
      <dgm:spPr>
        <a:solidFill>
          <a:srgbClr val="4BACC6">
            <a:lumMod val="75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gm:spPr>
      <dgm:t>
        <a:bodyPr spcFirstLastPara="0" vert="horz" wrap="square" lIns="5715" tIns="5715" rIns="5715" bIns="5715" numCol="1" spcCol="1270" anchor="ctr" anchorCtr="0"/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Discapacidad</a:t>
          </a:r>
        </a:p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900" b="1" kern="1200" dirty="0">
            <a:solidFill>
              <a:sysClr val="windowText" lastClr="000000"/>
            </a:solidFill>
            <a:latin typeface="Poppins" panose="00000500000000000000" pitchFamily="2" charset="0"/>
            <a:ea typeface="+mn-ea"/>
            <a:cs typeface="Poppins" panose="00000500000000000000" pitchFamily="2" charset="0"/>
          </a:endParaRP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7"/>
          </dgm14:cNvPr>
        </a:ext>
      </dgm:extLst>
    </dgm:pt>
    <dgm:pt modelId="{6726E133-F614-4587-A191-9FCE92C21F1C}" type="parTrans" cxnId="{22831EDF-FEBC-4E7D-8347-88BD4ED09A02}">
      <dgm:prSet custT="1"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BACE2BE9-245A-4C5E-9AD3-D8E14F4943CE}" type="sibTrans" cxnId="{22831EDF-FEBC-4E7D-8347-88BD4ED09A02}">
      <dgm:prSet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B7B80674-1C5C-4C44-951D-4D3415D2F940}">
      <dgm:prSet phldrT="[Texto]" custT="1"/>
      <dgm:spPr/>
      <dgm:t>
        <a:bodyPr/>
        <a:lstStyle/>
        <a:p>
          <a:endParaRPr lang="es-CO" sz="900" dirty="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4078AA32-9234-4F7B-A3C0-44CC536C4F6F}" type="parTrans" cxnId="{55029DA0-2207-45BF-9566-14767832089C}">
      <dgm:prSet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8F646FBA-D2BB-4B43-8BB8-4810298F5C12}" type="sibTrans" cxnId="{55029DA0-2207-45BF-9566-14767832089C}">
      <dgm:prSet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18581CE6-EB0D-4FF9-9073-2C4F6F4F03B4}">
      <dgm:prSet phldrT="[Texto]" custT="1"/>
      <dgm:spPr>
        <a:solidFill>
          <a:srgbClr val="143778"/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gm:spPr>
      <dgm:t>
        <a:bodyPr spcFirstLastPara="0" vert="horz" wrap="square" lIns="7620" tIns="7620" rIns="7620" bIns="7620" numCol="1" spcCol="1270" anchor="ctr" anchorCtr="0"/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solidFill>
                <a:sysClr val="window" lastClr="FFFFFF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Ganancia ≥15 letras en BCVA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7A8CA24C-8421-49C0-A4FC-01B07B9B779C}" type="parTrans" cxnId="{5C86C185-8DD5-428C-8EBA-05D81DD9CF31}">
      <dgm:prSet custT="1"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88BB2147-F52D-48ED-8903-47E86476C06E}" type="sibTrans" cxnId="{5C86C185-8DD5-428C-8EBA-05D81DD9CF31}">
      <dgm:prSet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EC5137BA-81D8-45D3-B55E-C07B2EC46F0B}">
      <dgm:prSet custT="1"/>
      <dgm:spPr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gm:spPr>
      <dgm:t>
        <a:bodyPr spcFirstLastPara="0" vert="horz" wrap="square" lIns="7620" tIns="7620" rIns="7620" bIns="7620" numCol="1" spcCol="1270" anchor="ctr" anchorCtr="0"/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800" b="1" kern="120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Estado de aprobación regulatoria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9"/>
          </dgm14:cNvPr>
        </a:ext>
      </dgm:extLst>
    </dgm:pt>
    <dgm:pt modelId="{8136EA11-2931-4546-913A-C5F5ABC699E1}" type="parTrans" cxnId="{0ADEA610-AD57-4D8C-B39F-8ED2E0F3599E}">
      <dgm:prSet custT="1"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3ADF3175-4CE7-4E4C-84D0-9AAD876D7EC6}" type="sibTrans" cxnId="{0ADEA610-AD57-4D8C-B39F-8ED2E0F3599E}">
      <dgm:prSet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80F9BAF0-3B48-4EC0-B25D-5756D8CA7C70}">
      <dgm:prSet custT="1"/>
      <dgm:spPr>
        <a:solidFill>
          <a:srgbClr val="1F497D">
            <a:lumMod val="60000"/>
            <a:lumOff val="40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gm:spPr>
      <dgm:t>
        <a:bodyPr spcFirstLastPara="0" vert="horz" wrap="square" lIns="7620" tIns="7620" rIns="7620" bIns="7620" numCol="1" spcCol="1270" anchor="ctr" anchorCtr="0"/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800" b="1" kern="120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Inclusión en guías de práctica clínica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EF95AFAA-BC11-449A-9490-78C524D33F48}" type="parTrans" cxnId="{BEC3B423-01D4-4B1F-A6C6-741BCD4B8452}">
      <dgm:prSet custT="1"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400107A3-5833-4496-9F0E-F04852D0B5C0}" type="sibTrans" cxnId="{BEC3B423-01D4-4B1F-A6C6-741BCD4B8452}">
      <dgm:prSet/>
      <dgm:spPr/>
      <dgm:t>
        <a:bodyPr/>
        <a:lstStyle/>
        <a:p>
          <a:endParaRPr lang="es-CO" sz="900">
            <a:latin typeface="Poppins" panose="00000500000000000000" pitchFamily="2" charset="0"/>
            <a:cs typeface="Poppins" panose="00000500000000000000" pitchFamily="2" charset="0"/>
          </a:endParaRPr>
        </a:p>
      </dgm:t>
    </dgm:pt>
    <dgm:pt modelId="{92AA1050-B7EE-4663-92A9-C63C8E6121FC}">
      <dgm:prSet phldrT="[Texto]" custT="1"/>
      <dgm:spPr>
        <a:solidFill>
          <a:srgbClr val="4BACC6">
            <a:lumMod val="40000"/>
            <a:lumOff val="60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gm:spPr>
      <dgm:t>
        <a:bodyPr spcFirstLastPara="0" vert="horz" wrap="square" lIns="7620" tIns="7620" rIns="7620" bIns="7620" numCol="1" spcCol="1270" anchor="ctr" anchorCtr="0"/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Evento cerebrovascular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BE3D11D4-5578-4720-8B86-1268CE456D15}" type="parTrans" cxnId="{9E24AFC9-74F5-4C4A-9C85-9D64814124DB}">
      <dgm:prSet/>
      <dgm:spPr/>
      <dgm:t>
        <a:bodyPr/>
        <a:lstStyle/>
        <a:p>
          <a:endParaRPr lang="es-CO"/>
        </a:p>
      </dgm:t>
    </dgm:pt>
    <dgm:pt modelId="{86E30833-D41A-4800-AA7A-55FF3F9BCBD1}" type="sibTrans" cxnId="{9E24AFC9-74F5-4C4A-9C85-9D64814124DB}">
      <dgm:prSet/>
      <dgm:spPr/>
      <dgm:t>
        <a:bodyPr/>
        <a:lstStyle/>
        <a:p>
          <a:endParaRPr lang="es-CO"/>
        </a:p>
      </dgm:t>
    </dgm:pt>
    <dgm:pt modelId="{4D3F11B3-1E82-4CEB-AF00-6C7703FC42CF}" type="pres">
      <dgm:prSet presAssocID="{113A2C7B-4FE8-4DC4-9AA5-45D4993DD66B}" presName="cycle" presStyleCnt="0">
        <dgm:presLayoutVars>
          <dgm:chMax val="1"/>
          <dgm:dir/>
          <dgm:animLvl val="ctr"/>
          <dgm:resizeHandles val="exact"/>
        </dgm:presLayoutVars>
      </dgm:prSet>
      <dgm:spPr/>
    </dgm:pt>
    <dgm:pt modelId="{DAA6C56E-F98B-4A50-BD52-A8DB6E487BBA}" type="pres">
      <dgm:prSet presAssocID="{13E95CCA-177B-4FBE-A3DB-A6965707891A}" presName="centerShape" presStyleLbl="node0" presStyleIdx="0" presStyleCnt="1" custScaleX="59492" custScaleY="55484"/>
      <dgm:spPr/>
    </dgm:pt>
    <dgm:pt modelId="{E05EE0D6-A493-4691-A492-AA96A8B0E52E}" type="pres">
      <dgm:prSet presAssocID="{55C50252-36F7-4B30-AE34-B5D894DEDBA5}" presName="Name9" presStyleLbl="parChTrans1D2" presStyleIdx="0" presStyleCnt="11"/>
      <dgm:spPr/>
    </dgm:pt>
    <dgm:pt modelId="{FE5ABB9B-806D-4DE8-86E3-602D6A53492D}" type="pres">
      <dgm:prSet presAssocID="{55C50252-36F7-4B30-AE34-B5D894DEDBA5}" presName="connTx" presStyleLbl="parChTrans1D2" presStyleIdx="0" presStyleCnt="11"/>
      <dgm:spPr/>
    </dgm:pt>
    <dgm:pt modelId="{999C2C04-5DD1-4F83-866D-7D7CCD1410B5}" type="pres">
      <dgm:prSet presAssocID="{6443374D-ABEA-48F4-AD8D-80947E0B0A46}" presName="node" presStyleLbl="node1" presStyleIdx="0" presStyleCnt="11">
        <dgm:presLayoutVars>
          <dgm:bulletEnabled val="1"/>
        </dgm:presLayoutVars>
      </dgm:prSet>
      <dgm:spPr>
        <a:xfrm>
          <a:off x="4174842" y="6222"/>
          <a:ext cx="969336" cy="969336"/>
        </a:xfrm>
        <a:prstGeom prst="ellipse">
          <a:avLst/>
        </a:prstGeom>
      </dgm:spPr>
    </dgm:pt>
    <dgm:pt modelId="{09C9F539-94AA-4BD5-B82E-C3E7EFFA9D02}" type="pres">
      <dgm:prSet presAssocID="{7A8CA24C-8421-49C0-A4FC-01B07B9B779C}" presName="Name9" presStyleLbl="parChTrans1D2" presStyleIdx="1" presStyleCnt="11"/>
      <dgm:spPr/>
    </dgm:pt>
    <dgm:pt modelId="{5CA9DCB9-F34C-494D-A250-54B492666A3C}" type="pres">
      <dgm:prSet presAssocID="{7A8CA24C-8421-49C0-A4FC-01B07B9B779C}" presName="connTx" presStyleLbl="parChTrans1D2" presStyleIdx="1" presStyleCnt="11"/>
      <dgm:spPr/>
    </dgm:pt>
    <dgm:pt modelId="{44BA647C-92C2-4F36-80B7-80A5A17F3B42}" type="pres">
      <dgm:prSet presAssocID="{18581CE6-EB0D-4FF9-9073-2C4F6F4F03B4}" presName="node" presStyleLbl="node1" presStyleIdx="1" presStyleCnt="11">
        <dgm:presLayoutVars>
          <dgm:bulletEnabled val="1"/>
        </dgm:presLayoutVars>
      </dgm:prSet>
      <dgm:spPr>
        <a:xfrm>
          <a:off x="5373306" y="395626"/>
          <a:ext cx="969336" cy="969336"/>
        </a:xfrm>
        <a:prstGeom prst="ellipse">
          <a:avLst/>
        </a:prstGeom>
      </dgm:spPr>
    </dgm:pt>
    <dgm:pt modelId="{A97911A0-627F-4E09-A7A0-64B12264F819}" type="pres">
      <dgm:prSet presAssocID="{84D28295-F7D0-4029-8588-B33D08B3C156}" presName="Name9" presStyleLbl="parChTrans1D2" presStyleIdx="2" presStyleCnt="11"/>
      <dgm:spPr/>
    </dgm:pt>
    <dgm:pt modelId="{5B387054-3FC3-4BE0-A9ED-134AEC35D720}" type="pres">
      <dgm:prSet presAssocID="{84D28295-F7D0-4029-8588-B33D08B3C156}" presName="connTx" presStyleLbl="parChTrans1D2" presStyleIdx="2" presStyleCnt="11"/>
      <dgm:spPr/>
    </dgm:pt>
    <dgm:pt modelId="{3A1A464F-EA8F-4750-8422-FDC62C8B81D7}" type="pres">
      <dgm:prSet presAssocID="{888615A7-5A8E-4ED6-8C99-09A5710B1F21}" presName="node" presStyleLbl="node1" presStyleIdx="2" presStyleCnt="11" custScaleX="104766" custScaleY="106394" custRadScaleRad="99037" custRadScaleInc="-1128">
        <dgm:presLayoutVars>
          <dgm:bulletEnabled val="1"/>
        </dgm:presLayoutVars>
      </dgm:prSet>
      <dgm:spPr>
        <a:xfrm>
          <a:off x="6070001" y="1383377"/>
          <a:ext cx="1015534" cy="1031315"/>
        </a:xfrm>
        <a:prstGeom prst="ellipse">
          <a:avLst/>
        </a:prstGeom>
      </dgm:spPr>
    </dgm:pt>
    <dgm:pt modelId="{88EF1F46-860B-4F71-80F0-E48521E65869}" type="pres">
      <dgm:prSet presAssocID="{4F174036-2877-43DE-816C-735F269B9E21}" presName="Name9" presStyleLbl="parChTrans1D2" presStyleIdx="3" presStyleCnt="11"/>
      <dgm:spPr/>
    </dgm:pt>
    <dgm:pt modelId="{4A0293AA-F01D-4E7D-9202-137A9975D69A}" type="pres">
      <dgm:prSet presAssocID="{4F174036-2877-43DE-816C-735F269B9E21}" presName="connTx" presStyleLbl="parChTrans1D2" presStyleIdx="3" presStyleCnt="11"/>
      <dgm:spPr/>
    </dgm:pt>
    <dgm:pt modelId="{1D0F4F1B-27DA-407B-9EB5-382A4515191D}" type="pres">
      <dgm:prSet presAssocID="{189365EA-D99F-4681-99DF-987420B4E522}" presName="node" presStyleLbl="node1" presStyleIdx="3" presStyleCnt="11">
        <dgm:presLayoutVars>
          <dgm:bulletEnabled val="1"/>
        </dgm:presLayoutVars>
      </dgm:prSet>
      <dgm:spPr>
        <a:xfrm>
          <a:off x="6113998" y="2675242"/>
          <a:ext cx="969336" cy="969336"/>
        </a:xfrm>
        <a:prstGeom prst="ellipse">
          <a:avLst/>
        </a:prstGeom>
      </dgm:spPr>
    </dgm:pt>
    <dgm:pt modelId="{6E3EED86-F604-4D0E-88C8-9AEE57A8AD96}" type="pres">
      <dgm:prSet presAssocID="{BE3D11D4-5578-4720-8B86-1268CE456D15}" presName="Name9" presStyleLbl="parChTrans1D2" presStyleIdx="4" presStyleCnt="11"/>
      <dgm:spPr/>
    </dgm:pt>
    <dgm:pt modelId="{D82F6BE0-0DCE-4734-87A8-8B2B35789FFD}" type="pres">
      <dgm:prSet presAssocID="{BE3D11D4-5578-4720-8B86-1268CE456D15}" presName="connTx" presStyleLbl="parChTrans1D2" presStyleIdx="4" presStyleCnt="11"/>
      <dgm:spPr/>
    </dgm:pt>
    <dgm:pt modelId="{42312E5F-B6A7-41F9-8C1D-AA37673D0641}" type="pres">
      <dgm:prSet presAssocID="{92AA1050-B7EE-4663-92A9-C63C8E6121FC}" presName="node" presStyleLbl="node1" presStyleIdx="4" presStyleCnt="11">
        <dgm:presLayoutVars>
          <dgm:bulletEnabled val="1"/>
        </dgm:presLayoutVars>
      </dgm:prSet>
      <dgm:spPr/>
    </dgm:pt>
    <dgm:pt modelId="{49CF188C-9BE1-4A83-8EEA-F1EDC820D77C}" type="pres">
      <dgm:prSet presAssocID="{3E8BFED0-AAA0-4084-81E2-916272689B80}" presName="Name9" presStyleLbl="parChTrans1D2" presStyleIdx="5" presStyleCnt="11"/>
      <dgm:spPr/>
    </dgm:pt>
    <dgm:pt modelId="{3724CCF5-6899-412E-905E-23BE59E0C01B}" type="pres">
      <dgm:prSet presAssocID="{3E8BFED0-AAA0-4084-81E2-916272689B80}" presName="connTx" presStyleLbl="parChTrans1D2" presStyleIdx="5" presStyleCnt="11"/>
      <dgm:spPr/>
    </dgm:pt>
    <dgm:pt modelId="{5121748A-C064-4F07-B29A-BC1E378A385F}" type="pres">
      <dgm:prSet presAssocID="{789DA829-F7B3-486A-8DEE-6D455D944DCE}" presName="node" presStyleLbl="node1" presStyleIdx="5" presStyleCnt="11">
        <dgm:presLayoutVars>
          <dgm:bulletEnabled val="1"/>
        </dgm:presLayoutVars>
      </dgm:prSet>
      <dgm:spPr>
        <a:xfrm>
          <a:off x="5373306" y="3694716"/>
          <a:ext cx="969336" cy="969336"/>
        </a:xfrm>
        <a:prstGeom prst="ellipse">
          <a:avLst/>
        </a:prstGeom>
      </dgm:spPr>
    </dgm:pt>
    <dgm:pt modelId="{63A62071-96F8-4F95-A539-2A9280331C59}" type="pres">
      <dgm:prSet presAssocID="{EA0B72A7-4248-4606-BEDA-B4A2174DBD62}" presName="Name9" presStyleLbl="parChTrans1D2" presStyleIdx="6" presStyleCnt="11"/>
      <dgm:spPr/>
    </dgm:pt>
    <dgm:pt modelId="{7269A8ED-47BB-4D9C-A364-96B972E4CC38}" type="pres">
      <dgm:prSet presAssocID="{EA0B72A7-4248-4606-BEDA-B4A2174DBD62}" presName="connTx" presStyleLbl="parChTrans1D2" presStyleIdx="6" presStyleCnt="11"/>
      <dgm:spPr/>
    </dgm:pt>
    <dgm:pt modelId="{2152CD24-9E02-4B5D-B717-786168059891}" type="pres">
      <dgm:prSet presAssocID="{990F8C8D-67EE-4CA9-893D-707AFCB30DB0}" presName="node" presStyleLbl="node1" presStyleIdx="6" presStyleCnt="11" custRadScaleRad="100939" custRadScaleInc="2358">
        <dgm:presLayoutVars>
          <dgm:bulletEnabled val="1"/>
        </dgm:presLayoutVars>
      </dgm:prSet>
      <dgm:spPr>
        <a:xfrm>
          <a:off x="4159596" y="4090343"/>
          <a:ext cx="969336" cy="969336"/>
        </a:xfrm>
        <a:prstGeom prst="ellipse">
          <a:avLst/>
        </a:prstGeom>
      </dgm:spPr>
    </dgm:pt>
    <dgm:pt modelId="{95071ACE-EE65-427E-B192-8848668B3C54}" type="pres">
      <dgm:prSet presAssocID="{BA71876F-A685-44D6-B0F8-F8E34E2823E8}" presName="Name9" presStyleLbl="parChTrans1D2" presStyleIdx="7" presStyleCnt="11"/>
      <dgm:spPr/>
    </dgm:pt>
    <dgm:pt modelId="{38B8543D-D17F-4615-8B96-6160504D83A1}" type="pres">
      <dgm:prSet presAssocID="{BA71876F-A685-44D6-B0F8-F8E34E2823E8}" presName="connTx" presStyleLbl="parChTrans1D2" presStyleIdx="7" presStyleCnt="11"/>
      <dgm:spPr/>
    </dgm:pt>
    <dgm:pt modelId="{FFC70FED-FD9C-45A7-8173-C26759F0C0C6}" type="pres">
      <dgm:prSet presAssocID="{C0959E24-B0C6-4921-AF82-026AD8573F4C}" presName="node" presStyleLbl="node1" presStyleIdx="7" presStyleCnt="11">
        <dgm:presLayoutVars>
          <dgm:bulletEnabled val="1"/>
        </dgm:presLayoutVars>
      </dgm:prSet>
      <dgm:spPr>
        <a:xfrm>
          <a:off x="2976377" y="3694716"/>
          <a:ext cx="969336" cy="969336"/>
        </a:xfrm>
        <a:prstGeom prst="ellipse">
          <a:avLst/>
        </a:prstGeom>
      </dgm:spPr>
    </dgm:pt>
    <dgm:pt modelId="{C87936ED-FAEF-4020-BE22-7B6CCB8E1B16}" type="pres">
      <dgm:prSet presAssocID="{6726E133-F614-4587-A191-9FCE92C21F1C}" presName="Name9" presStyleLbl="parChTrans1D2" presStyleIdx="8" presStyleCnt="11"/>
      <dgm:spPr/>
    </dgm:pt>
    <dgm:pt modelId="{9C61E384-21B4-4471-BAD3-975ED27BC047}" type="pres">
      <dgm:prSet presAssocID="{6726E133-F614-4587-A191-9FCE92C21F1C}" presName="connTx" presStyleLbl="parChTrans1D2" presStyleIdx="8" presStyleCnt="11"/>
      <dgm:spPr/>
    </dgm:pt>
    <dgm:pt modelId="{1B7DCB21-28B2-4873-9784-29F4DED739B2}" type="pres">
      <dgm:prSet presAssocID="{143AB78E-568C-4CE6-8F58-1DD2C36AF0C3}" presName="node" presStyleLbl="node1" presStyleIdx="8" presStyleCnt="11">
        <dgm:presLayoutVars>
          <dgm:bulletEnabled val="1"/>
        </dgm:presLayoutVars>
      </dgm:prSet>
      <dgm:spPr>
        <a:xfrm>
          <a:off x="2235685" y="2675242"/>
          <a:ext cx="969336" cy="969336"/>
        </a:xfrm>
        <a:prstGeom prst="ellipse">
          <a:avLst/>
        </a:prstGeom>
      </dgm:spPr>
    </dgm:pt>
    <dgm:pt modelId="{DEF68B88-B9BB-48E8-A8DB-C71B9BA03585}" type="pres">
      <dgm:prSet presAssocID="{8136EA11-2931-4546-913A-C5F5ABC699E1}" presName="Name9" presStyleLbl="parChTrans1D2" presStyleIdx="9" presStyleCnt="11"/>
      <dgm:spPr/>
    </dgm:pt>
    <dgm:pt modelId="{221E25A6-03AE-4DE1-B212-BBE9583B8C9E}" type="pres">
      <dgm:prSet presAssocID="{8136EA11-2931-4546-913A-C5F5ABC699E1}" presName="connTx" presStyleLbl="parChTrans1D2" presStyleIdx="9" presStyleCnt="11"/>
      <dgm:spPr/>
    </dgm:pt>
    <dgm:pt modelId="{4308602A-F09F-4BBC-8967-B1757111AB00}" type="pres">
      <dgm:prSet presAssocID="{EC5137BA-81D8-45D3-B55E-C07B2EC46F0B}" presName="node" presStyleLbl="node1" presStyleIdx="9" presStyleCnt="11">
        <dgm:presLayoutVars>
          <dgm:bulletEnabled val="1"/>
        </dgm:presLayoutVars>
      </dgm:prSet>
      <dgm:spPr>
        <a:xfrm>
          <a:off x="2235685" y="1415101"/>
          <a:ext cx="969336" cy="969336"/>
        </a:xfrm>
        <a:prstGeom prst="ellipse">
          <a:avLst/>
        </a:prstGeom>
      </dgm:spPr>
    </dgm:pt>
    <dgm:pt modelId="{A4EFBDEA-7DE3-4515-81AE-9133DCD43C8A}" type="pres">
      <dgm:prSet presAssocID="{EF95AFAA-BC11-449A-9490-78C524D33F48}" presName="Name9" presStyleLbl="parChTrans1D2" presStyleIdx="10" presStyleCnt="11"/>
      <dgm:spPr/>
    </dgm:pt>
    <dgm:pt modelId="{E00B1961-59DF-4A02-B97D-F354E6979EDF}" type="pres">
      <dgm:prSet presAssocID="{EF95AFAA-BC11-449A-9490-78C524D33F48}" presName="connTx" presStyleLbl="parChTrans1D2" presStyleIdx="10" presStyleCnt="11"/>
      <dgm:spPr/>
    </dgm:pt>
    <dgm:pt modelId="{80C33C16-4C3B-4277-8043-B8CD637ACA5E}" type="pres">
      <dgm:prSet presAssocID="{80F9BAF0-3B48-4EC0-B25D-5756D8CA7C70}" presName="node" presStyleLbl="node1" presStyleIdx="10" presStyleCnt="11">
        <dgm:presLayoutVars>
          <dgm:bulletEnabled val="1"/>
        </dgm:presLayoutVars>
      </dgm:prSet>
      <dgm:spPr>
        <a:xfrm>
          <a:off x="2976377" y="395626"/>
          <a:ext cx="969336" cy="969336"/>
        </a:xfrm>
        <a:prstGeom prst="ellipse">
          <a:avLst/>
        </a:prstGeom>
      </dgm:spPr>
    </dgm:pt>
  </dgm:ptLst>
  <dgm:cxnLst>
    <dgm:cxn modelId="{BC72030E-4F87-4893-BDBD-4EC074DD057E}" type="presOf" srcId="{EF95AFAA-BC11-449A-9490-78C524D33F48}" destId="{E00B1961-59DF-4A02-B97D-F354E6979EDF}" srcOrd="1" destOrd="0" presId="urn:microsoft.com/office/officeart/2005/8/layout/radial1"/>
    <dgm:cxn modelId="{7D980F0F-CEC2-43FD-97B7-9B7884DD57EA}" type="presOf" srcId="{55C50252-36F7-4B30-AE34-B5D894DEDBA5}" destId="{FE5ABB9B-806D-4DE8-86E3-602D6A53492D}" srcOrd="1" destOrd="0" presId="urn:microsoft.com/office/officeart/2005/8/layout/radial1"/>
    <dgm:cxn modelId="{0ADEA610-AD57-4D8C-B39F-8ED2E0F3599E}" srcId="{13E95CCA-177B-4FBE-A3DB-A6965707891A}" destId="{EC5137BA-81D8-45D3-B55E-C07B2EC46F0B}" srcOrd="9" destOrd="0" parTransId="{8136EA11-2931-4546-913A-C5F5ABC699E1}" sibTransId="{3ADF3175-4CE7-4E4C-84D0-9AAD876D7EC6}"/>
    <dgm:cxn modelId="{39A0CA10-F196-437F-BBC3-092676DAD753}" type="presOf" srcId="{84D28295-F7D0-4029-8588-B33D08B3C156}" destId="{5B387054-3FC3-4BE0-A9ED-134AEC35D720}" srcOrd="1" destOrd="0" presId="urn:microsoft.com/office/officeart/2005/8/layout/radial1"/>
    <dgm:cxn modelId="{5B116014-01D7-4C29-BE09-DF42FEAE110C}" type="presOf" srcId="{990F8C8D-67EE-4CA9-893D-707AFCB30DB0}" destId="{2152CD24-9E02-4B5D-B717-786168059891}" srcOrd="0" destOrd="0" presId="urn:microsoft.com/office/officeart/2005/8/layout/radial1"/>
    <dgm:cxn modelId="{655C7E14-35B5-48B2-8480-661000DD4F3D}" type="presOf" srcId="{55C50252-36F7-4B30-AE34-B5D894DEDBA5}" destId="{E05EE0D6-A493-4691-A492-AA96A8B0E52E}" srcOrd="0" destOrd="0" presId="urn:microsoft.com/office/officeart/2005/8/layout/radial1"/>
    <dgm:cxn modelId="{41E5F914-4A48-4A5F-96FC-05240CD277A9}" type="presOf" srcId="{4F174036-2877-43DE-816C-735F269B9E21}" destId="{4A0293AA-F01D-4E7D-9202-137A9975D69A}" srcOrd="1" destOrd="0" presId="urn:microsoft.com/office/officeart/2005/8/layout/radial1"/>
    <dgm:cxn modelId="{36FB751E-C643-4F9E-943F-65BE371D3D53}" srcId="{13E95CCA-177B-4FBE-A3DB-A6965707891A}" destId="{888615A7-5A8E-4ED6-8C99-09A5710B1F21}" srcOrd="2" destOrd="0" parTransId="{84D28295-F7D0-4029-8588-B33D08B3C156}" sibTransId="{CB2CB155-DEC4-46D8-B617-D6B1846A2033}"/>
    <dgm:cxn modelId="{BEC3B423-01D4-4B1F-A6C6-741BCD4B8452}" srcId="{13E95CCA-177B-4FBE-A3DB-A6965707891A}" destId="{80F9BAF0-3B48-4EC0-B25D-5756D8CA7C70}" srcOrd="10" destOrd="0" parTransId="{EF95AFAA-BC11-449A-9490-78C524D33F48}" sibTransId="{400107A3-5833-4496-9F0E-F04852D0B5C0}"/>
    <dgm:cxn modelId="{005BDB30-C3AD-4212-A422-C6FCCBCBDA45}" type="presOf" srcId="{6726E133-F614-4587-A191-9FCE92C21F1C}" destId="{9C61E384-21B4-4471-BAD3-975ED27BC047}" srcOrd="1" destOrd="0" presId="urn:microsoft.com/office/officeart/2005/8/layout/radial1"/>
    <dgm:cxn modelId="{79B65438-D1C3-4620-B06C-6292EFE95D79}" type="presOf" srcId="{BA71876F-A685-44D6-B0F8-F8E34E2823E8}" destId="{38B8543D-D17F-4615-8B96-6160504D83A1}" srcOrd="1" destOrd="0" presId="urn:microsoft.com/office/officeart/2005/8/layout/radial1"/>
    <dgm:cxn modelId="{69B2D13B-4478-459F-A0B6-6A1CF3291A46}" srcId="{13E95CCA-177B-4FBE-A3DB-A6965707891A}" destId="{189365EA-D99F-4681-99DF-987420B4E522}" srcOrd="3" destOrd="0" parTransId="{4F174036-2877-43DE-816C-735F269B9E21}" sibTransId="{0517C887-C34A-4E87-8A2B-E20F718AB229}"/>
    <dgm:cxn modelId="{1C3E7F5E-DB53-4856-9566-6A679EF366D0}" type="presOf" srcId="{BE3D11D4-5578-4720-8B86-1268CE456D15}" destId="{D82F6BE0-0DCE-4734-87A8-8B2B35789FFD}" srcOrd="1" destOrd="0" presId="urn:microsoft.com/office/officeart/2005/8/layout/radial1"/>
    <dgm:cxn modelId="{E9364B66-5D3E-4022-ADBF-E87C1AB06A6A}" type="presOf" srcId="{8136EA11-2931-4546-913A-C5F5ABC699E1}" destId="{DEF68B88-B9BB-48E8-A8DB-C71B9BA03585}" srcOrd="0" destOrd="0" presId="urn:microsoft.com/office/officeart/2005/8/layout/radial1"/>
    <dgm:cxn modelId="{3C57324B-6C46-4700-BBEA-9018A95D8174}" type="presOf" srcId="{7A8CA24C-8421-49C0-A4FC-01B07B9B779C}" destId="{5CA9DCB9-F34C-494D-A250-54B492666A3C}" srcOrd="1" destOrd="0" presId="urn:microsoft.com/office/officeart/2005/8/layout/radial1"/>
    <dgm:cxn modelId="{D7E9484C-2AF3-46D1-8F0F-269D1DB8DDC5}" srcId="{13E95CCA-177B-4FBE-A3DB-A6965707891A}" destId="{6443374D-ABEA-48F4-AD8D-80947E0B0A46}" srcOrd="0" destOrd="0" parTransId="{55C50252-36F7-4B30-AE34-B5D894DEDBA5}" sibTransId="{A8D5B15C-49A8-4564-A445-98EAE4BF15F4}"/>
    <dgm:cxn modelId="{C3171A4E-C4ED-4AF0-B425-A28657A312DC}" type="presOf" srcId="{18581CE6-EB0D-4FF9-9073-2C4F6F4F03B4}" destId="{44BA647C-92C2-4F36-80B7-80A5A17F3B42}" srcOrd="0" destOrd="0" presId="urn:microsoft.com/office/officeart/2005/8/layout/radial1"/>
    <dgm:cxn modelId="{7CE91C4E-4AF4-4A95-B34B-8D42B88B38CC}" type="presOf" srcId="{4F174036-2877-43DE-816C-735F269B9E21}" destId="{88EF1F46-860B-4F71-80F0-E48521E65869}" srcOrd="0" destOrd="0" presId="urn:microsoft.com/office/officeart/2005/8/layout/radial1"/>
    <dgm:cxn modelId="{D27F196F-9E03-475F-A7FE-4E1E443317BC}" type="presOf" srcId="{6726E133-F614-4587-A191-9FCE92C21F1C}" destId="{C87936ED-FAEF-4020-BE22-7B6CCB8E1B16}" srcOrd="0" destOrd="0" presId="urn:microsoft.com/office/officeart/2005/8/layout/radial1"/>
    <dgm:cxn modelId="{E2918455-2CD4-406F-BFE9-C23E9F00EA62}" type="presOf" srcId="{C0959E24-B0C6-4921-AF82-026AD8573F4C}" destId="{FFC70FED-FD9C-45A7-8173-C26759F0C0C6}" srcOrd="0" destOrd="0" presId="urn:microsoft.com/office/officeart/2005/8/layout/radial1"/>
    <dgm:cxn modelId="{6D3F8B78-DC4E-48A3-979F-A33FCC3874E0}" srcId="{13E95CCA-177B-4FBE-A3DB-A6965707891A}" destId="{990F8C8D-67EE-4CA9-893D-707AFCB30DB0}" srcOrd="6" destOrd="0" parTransId="{EA0B72A7-4248-4606-BEDA-B4A2174DBD62}" sibTransId="{378A1C52-DF3F-4770-B145-15EA19BD8A3F}"/>
    <dgm:cxn modelId="{703CB182-9A24-4390-9B9A-A35181F532F2}" type="presOf" srcId="{EF95AFAA-BC11-449A-9490-78C524D33F48}" destId="{A4EFBDEA-7DE3-4515-81AE-9133DCD43C8A}" srcOrd="0" destOrd="0" presId="urn:microsoft.com/office/officeart/2005/8/layout/radial1"/>
    <dgm:cxn modelId="{5C86C185-8DD5-428C-8EBA-05D81DD9CF31}" srcId="{13E95CCA-177B-4FBE-A3DB-A6965707891A}" destId="{18581CE6-EB0D-4FF9-9073-2C4F6F4F03B4}" srcOrd="1" destOrd="0" parTransId="{7A8CA24C-8421-49C0-A4FC-01B07B9B779C}" sibTransId="{88BB2147-F52D-48ED-8903-47E86476C06E}"/>
    <dgm:cxn modelId="{F0F4A492-62BF-44CA-BA99-ABAF075FC724}" type="presOf" srcId="{6443374D-ABEA-48F4-AD8D-80947E0B0A46}" destId="{999C2C04-5DD1-4F83-866D-7D7CCD1410B5}" srcOrd="0" destOrd="0" presId="urn:microsoft.com/office/officeart/2005/8/layout/radial1"/>
    <dgm:cxn modelId="{DE7F1B94-E381-4722-9CF1-AD9DBCA2F533}" srcId="{13E95CCA-177B-4FBE-A3DB-A6965707891A}" destId="{C0959E24-B0C6-4921-AF82-026AD8573F4C}" srcOrd="7" destOrd="0" parTransId="{BA71876F-A685-44D6-B0F8-F8E34E2823E8}" sibTransId="{E856C8F8-6E38-45DA-B4B1-800D6F46173D}"/>
    <dgm:cxn modelId="{FA95DE9C-AA3C-422B-9D95-67DA3937BC81}" srcId="{13E95CCA-177B-4FBE-A3DB-A6965707891A}" destId="{789DA829-F7B3-486A-8DEE-6D455D944DCE}" srcOrd="5" destOrd="0" parTransId="{3E8BFED0-AAA0-4084-81E2-916272689B80}" sibTransId="{B9121F74-1803-4761-8696-927BC8BA7D0F}"/>
    <dgm:cxn modelId="{55029DA0-2207-45BF-9566-14767832089C}" srcId="{113A2C7B-4FE8-4DC4-9AA5-45D4993DD66B}" destId="{B7B80674-1C5C-4C44-951D-4D3415D2F940}" srcOrd="1" destOrd="0" parTransId="{4078AA32-9234-4F7B-A3C0-44CC536C4F6F}" sibTransId="{8F646FBA-D2BB-4B43-8BB8-4810298F5C12}"/>
    <dgm:cxn modelId="{98A613AA-8BFD-4D6D-B8B2-8D9ACF1FC265}" type="presOf" srcId="{BE3D11D4-5578-4720-8B86-1268CE456D15}" destId="{6E3EED86-F604-4D0E-88C8-9AEE57A8AD96}" srcOrd="0" destOrd="0" presId="urn:microsoft.com/office/officeart/2005/8/layout/radial1"/>
    <dgm:cxn modelId="{8221DDAA-8F5C-4F24-A978-238B178D31DA}" type="presOf" srcId="{143AB78E-568C-4CE6-8F58-1DD2C36AF0C3}" destId="{1B7DCB21-28B2-4873-9784-29F4DED739B2}" srcOrd="0" destOrd="0" presId="urn:microsoft.com/office/officeart/2005/8/layout/radial1"/>
    <dgm:cxn modelId="{69F28FB1-8330-44DE-8B6B-A7797338D4DE}" type="presOf" srcId="{3E8BFED0-AAA0-4084-81E2-916272689B80}" destId="{3724CCF5-6899-412E-905E-23BE59E0C01B}" srcOrd="1" destOrd="0" presId="urn:microsoft.com/office/officeart/2005/8/layout/radial1"/>
    <dgm:cxn modelId="{4F54B5B4-0D6A-454A-ACAD-B97AB07E7B97}" type="presOf" srcId="{80F9BAF0-3B48-4EC0-B25D-5756D8CA7C70}" destId="{80C33C16-4C3B-4277-8043-B8CD637ACA5E}" srcOrd="0" destOrd="0" presId="urn:microsoft.com/office/officeart/2005/8/layout/radial1"/>
    <dgm:cxn modelId="{7CD4E9B4-4B5A-4BA9-8E12-9A269F43F260}" type="presOf" srcId="{13E95CCA-177B-4FBE-A3DB-A6965707891A}" destId="{DAA6C56E-F98B-4A50-BD52-A8DB6E487BBA}" srcOrd="0" destOrd="0" presId="urn:microsoft.com/office/officeart/2005/8/layout/radial1"/>
    <dgm:cxn modelId="{9486EEB8-80B0-479C-AA03-711C7124D9E2}" type="presOf" srcId="{84D28295-F7D0-4029-8588-B33D08B3C156}" destId="{A97911A0-627F-4E09-A7A0-64B12264F819}" srcOrd="0" destOrd="0" presId="urn:microsoft.com/office/officeart/2005/8/layout/radial1"/>
    <dgm:cxn modelId="{F591E0BC-C4C2-44F5-A737-83F4A776A8D1}" type="presOf" srcId="{3E8BFED0-AAA0-4084-81E2-916272689B80}" destId="{49CF188C-9BE1-4A83-8EEA-F1EDC820D77C}" srcOrd="0" destOrd="0" presId="urn:microsoft.com/office/officeart/2005/8/layout/radial1"/>
    <dgm:cxn modelId="{E02BFDBC-E938-42F9-BA56-D4E64A176DA6}" type="presOf" srcId="{113A2C7B-4FE8-4DC4-9AA5-45D4993DD66B}" destId="{4D3F11B3-1E82-4CEB-AF00-6C7703FC42CF}" srcOrd="0" destOrd="0" presId="urn:microsoft.com/office/officeart/2005/8/layout/radial1"/>
    <dgm:cxn modelId="{583D62BE-864E-4DAF-97AB-0050E67B3531}" srcId="{113A2C7B-4FE8-4DC4-9AA5-45D4993DD66B}" destId="{13E95CCA-177B-4FBE-A3DB-A6965707891A}" srcOrd="0" destOrd="0" parTransId="{254A917C-7F73-4B19-B2AD-85BE89B2C770}" sibTransId="{02B830B3-3D88-4B30-87C6-969368206C99}"/>
    <dgm:cxn modelId="{5F154FC0-83CB-474F-AF7E-F57AD1259657}" type="presOf" srcId="{8136EA11-2931-4546-913A-C5F5ABC699E1}" destId="{221E25A6-03AE-4DE1-B212-BBE9583B8C9E}" srcOrd="1" destOrd="0" presId="urn:microsoft.com/office/officeart/2005/8/layout/radial1"/>
    <dgm:cxn modelId="{3110D5C1-966C-4431-BE64-DA5AA0D90B1A}" type="presOf" srcId="{92AA1050-B7EE-4663-92A9-C63C8E6121FC}" destId="{42312E5F-B6A7-41F9-8C1D-AA37673D0641}" srcOrd="0" destOrd="0" presId="urn:microsoft.com/office/officeart/2005/8/layout/radial1"/>
    <dgm:cxn modelId="{B38BDCC4-F3ED-448B-8201-B3B60B98AC35}" type="presOf" srcId="{BA71876F-A685-44D6-B0F8-F8E34E2823E8}" destId="{95071ACE-EE65-427E-B192-8848668B3C54}" srcOrd="0" destOrd="0" presId="urn:microsoft.com/office/officeart/2005/8/layout/radial1"/>
    <dgm:cxn modelId="{384005C8-12F6-49AD-817A-9397F8D1FADB}" type="presOf" srcId="{EA0B72A7-4248-4606-BEDA-B4A2174DBD62}" destId="{63A62071-96F8-4F95-A539-2A9280331C59}" srcOrd="0" destOrd="0" presId="urn:microsoft.com/office/officeart/2005/8/layout/radial1"/>
    <dgm:cxn modelId="{9E24AFC9-74F5-4C4A-9C85-9D64814124DB}" srcId="{13E95CCA-177B-4FBE-A3DB-A6965707891A}" destId="{92AA1050-B7EE-4663-92A9-C63C8E6121FC}" srcOrd="4" destOrd="0" parTransId="{BE3D11D4-5578-4720-8B86-1268CE456D15}" sibTransId="{86E30833-D41A-4800-AA7A-55FF3F9BCBD1}"/>
    <dgm:cxn modelId="{A9A48FCF-EBC0-4EA2-AA77-90D95D7F1ED5}" type="presOf" srcId="{189365EA-D99F-4681-99DF-987420B4E522}" destId="{1D0F4F1B-27DA-407B-9EB5-382A4515191D}" srcOrd="0" destOrd="0" presId="urn:microsoft.com/office/officeart/2005/8/layout/radial1"/>
    <dgm:cxn modelId="{37F27DD1-A485-4F69-9486-D7290255558F}" type="presOf" srcId="{EC5137BA-81D8-45D3-B55E-C07B2EC46F0B}" destId="{4308602A-F09F-4BBC-8967-B1757111AB00}" srcOrd="0" destOrd="0" presId="urn:microsoft.com/office/officeart/2005/8/layout/radial1"/>
    <dgm:cxn modelId="{B65AD2D1-71EE-4835-B5A6-527E0EBB2324}" type="presOf" srcId="{EA0B72A7-4248-4606-BEDA-B4A2174DBD62}" destId="{7269A8ED-47BB-4D9C-A364-96B972E4CC38}" srcOrd="1" destOrd="0" presId="urn:microsoft.com/office/officeart/2005/8/layout/radial1"/>
    <dgm:cxn modelId="{8D6660D4-73B8-4BE2-BE0C-A998EEB47C7E}" type="presOf" srcId="{7A8CA24C-8421-49C0-A4FC-01B07B9B779C}" destId="{09C9F539-94AA-4BD5-B82E-C3E7EFFA9D02}" srcOrd="0" destOrd="0" presId="urn:microsoft.com/office/officeart/2005/8/layout/radial1"/>
    <dgm:cxn modelId="{22831EDF-FEBC-4E7D-8347-88BD4ED09A02}" srcId="{13E95CCA-177B-4FBE-A3DB-A6965707891A}" destId="{143AB78E-568C-4CE6-8F58-1DD2C36AF0C3}" srcOrd="8" destOrd="0" parTransId="{6726E133-F614-4587-A191-9FCE92C21F1C}" sibTransId="{BACE2BE9-245A-4C5E-9AD3-D8E14F4943CE}"/>
    <dgm:cxn modelId="{46321BE7-B245-417C-8C63-4E890B996B9B}" type="presOf" srcId="{888615A7-5A8E-4ED6-8C99-09A5710B1F21}" destId="{3A1A464F-EA8F-4750-8422-FDC62C8B81D7}" srcOrd="0" destOrd="0" presId="urn:microsoft.com/office/officeart/2005/8/layout/radial1"/>
    <dgm:cxn modelId="{17DD51EA-CA8B-44BA-82BE-0CDF1543D988}" type="presOf" srcId="{789DA829-F7B3-486A-8DEE-6D455D944DCE}" destId="{5121748A-C064-4F07-B29A-BC1E378A385F}" srcOrd="0" destOrd="0" presId="urn:microsoft.com/office/officeart/2005/8/layout/radial1"/>
    <dgm:cxn modelId="{2C809D10-B828-4F76-AEA4-8C9C5CCF97F0}" type="presParOf" srcId="{4D3F11B3-1E82-4CEB-AF00-6C7703FC42CF}" destId="{DAA6C56E-F98B-4A50-BD52-A8DB6E487BBA}" srcOrd="0" destOrd="0" presId="urn:microsoft.com/office/officeart/2005/8/layout/radial1"/>
    <dgm:cxn modelId="{99755451-7AE4-4614-9F53-D0305CF988B9}" type="presParOf" srcId="{4D3F11B3-1E82-4CEB-AF00-6C7703FC42CF}" destId="{E05EE0D6-A493-4691-A492-AA96A8B0E52E}" srcOrd="1" destOrd="0" presId="urn:microsoft.com/office/officeart/2005/8/layout/radial1"/>
    <dgm:cxn modelId="{1C86EDE4-5817-4034-84A2-1D161823C685}" type="presParOf" srcId="{E05EE0D6-A493-4691-A492-AA96A8B0E52E}" destId="{FE5ABB9B-806D-4DE8-86E3-602D6A53492D}" srcOrd="0" destOrd="0" presId="urn:microsoft.com/office/officeart/2005/8/layout/radial1"/>
    <dgm:cxn modelId="{6E441C26-5ACA-492C-9CA2-E0994D8DE31C}" type="presParOf" srcId="{4D3F11B3-1E82-4CEB-AF00-6C7703FC42CF}" destId="{999C2C04-5DD1-4F83-866D-7D7CCD1410B5}" srcOrd="2" destOrd="0" presId="urn:microsoft.com/office/officeart/2005/8/layout/radial1"/>
    <dgm:cxn modelId="{EC740115-642E-4275-8567-771784F15040}" type="presParOf" srcId="{4D3F11B3-1E82-4CEB-AF00-6C7703FC42CF}" destId="{09C9F539-94AA-4BD5-B82E-C3E7EFFA9D02}" srcOrd="3" destOrd="0" presId="urn:microsoft.com/office/officeart/2005/8/layout/radial1"/>
    <dgm:cxn modelId="{7C85735E-5121-47AB-BA20-FE386D68F211}" type="presParOf" srcId="{09C9F539-94AA-4BD5-B82E-C3E7EFFA9D02}" destId="{5CA9DCB9-F34C-494D-A250-54B492666A3C}" srcOrd="0" destOrd="0" presId="urn:microsoft.com/office/officeart/2005/8/layout/radial1"/>
    <dgm:cxn modelId="{C1833CDE-404F-486A-932F-9C0BC1D6589C}" type="presParOf" srcId="{4D3F11B3-1E82-4CEB-AF00-6C7703FC42CF}" destId="{44BA647C-92C2-4F36-80B7-80A5A17F3B42}" srcOrd="4" destOrd="0" presId="urn:microsoft.com/office/officeart/2005/8/layout/radial1"/>
    <dgm:cxn modelId="{6B0B039C-6CCE-4890-8DBE-77D99F6EB40B}" type="presParOf" srcId="{4D3F11B3-1E82-4CEB-AF00-6C7703FC42CF}" destId="{A97911A0-627F-4E09-A7A0-64B12264F819}" srcOrd="5" destOrd="0" presId="urn:microsoft.com/office/officeart/2005/8/layout/radial1"/>
    <dgm:cxn modelId="{3958B7AD-794C-4CC7-B39F-6AD18B5E377A}" type="presParOf" srcId="{A97911A0-627F-4E09-A7A0-64B12264F819}" destId="{5B387054-3FC3-4BE0-A9ED-134AEC35D720}" srcOrd="0" destOrd="0" presId="urn:microsoft.com/office/officeart/2005/8/layout/radial1"/>
    <dgm:cxn modelId="{ACDB3677-A07D-4182-848E-2EE6BBE0A7F6}" type="presParOf" srcId="{4D3F11B3-1E82-4CEB-AF00-6C7703FC42CF}" destId="{3A1A464F-EA8F-4750-8422-FDC62C8B81D7}" srcOrd="6" destOrd="0" presId="urn:microsoft.com/office/officeart/2005/8/layout/radial1"/>
    <dgm:cxn modelId="{42CE2819-9D47-4946-A4B2-C7A96090AD46}" type="presParOf" srcId="{4D3F11B3-1E82-4CEB-AF00-6C7703FC42CF}" destId="{88EF1F46-860B-4F71-80F0-E48521E65869}" srcOrd="7" destOrd="0" presId="urn:microsoft.com/office/officeart/2005/8/layout/radial1"/>
    <dgm:cxn modelId="{4F5BD1F4-79F1-4107-BB84-4550D06CADEE}" type="presParOf" srcId="{88EF1F46-860B-4F71-80F0-E48521E65869}" destId="{4A0293AA-F01D-4E7D-9202-137A9975D69A}" srcOrd="0" destOrd="0" presId="urn:microsoft.com/office/officeart/2005/8/layout/radial1"/>
    <dgm:cxn modelId="{9273D1BF-7793-4C36-A60F-EB2B2007718D}" type="presParOf" srcId="{4D3F11B3-1E82-4CEB-AF00-6C7703FC42CF}" destId="{1D0F4F1B-27DA-407B-9EB5-382A4515191D}" srcOrd="8" destOrd="0" presId="urn:microsoft.com/office/officeart/2005/8/layout/radial1"/>
    <dgm:cxn modelId="{959C7BED-A90F-4DD4-AE09-76CB737B7D6D}" type="presParOf" srcId="{4D3F11B3-1E82-4CEB-AF00-6C7703FC42CF}" destId="{6E3EED86-F604-4D0E-88C8-9AEE57A8AD96}" srcOrd="9" destOrd="0" presId="urn:microsoft.com/office/officeart/2005/8/layout/radial1"/>
    <dgm:cxn modelId="{4A5C6A95-5D25-4EC1-B207-28D4BDAD8FFE}" type="presParOf" srcId="{6E3EED86-F604-4D0E-88C8-9AEE57A8AD96}" destId="{D82F6BE0-0DCE-4734-87A8-8B2B35789FFD}" srcOrd="0" destOrd="0" presId="urn:microsoft.com/office/officeart/2005/8/layout/radial1"/>
    <dgm:cxn modelId="{41522605-EC5A-4983-B4E7-B09CBEC6CDC5}" type="presParOf" srcId="{4D3F11B3-1E82-4CEB-AF00-6C7703FC42CF}" destId="{42312E5F-B6A7-41F9-8C1D-AA37673D0641}" srcOrd="10" destOrd="0" presId="urn:microsoft.com/office/officeart/2005/8/layout/radial1"/>
    <dgm:cxn modelId="{89AD2322-5015-427A-A244-063EA7D36842}" type="presParOf" srcId="{4D3F11B3-1E82-4CEB-AF00-6C7703FC42CF}" destId="{49CF188C-9BE1-4A83-8EEA-F1EDC820D77C}" srcOrd="11" destOrd="0" presId="urn:microsoft.com/office/officeart/2005/8/layout/radial1"/>
    <dgm:cxn modelId="{D858E6AD-AA3A-4C04-9CF2-B798D719D5B1}" type="presParOf" srcId="{49CF188C-9BE1-4A83-8EEA-F1EDC820D77C}" destId="{3724CCF5-6899-412E-905E-23BE59E0C01B}" srcOrd="0" destOrd="0" presId="urn:microsoft.com/office/officeart/2005/8/layout/radial1"/>
    <dgm:cxn modelId="{CA4BE1BB-C5D5-4AE0-AE6B-E7BB54B8C2F0}" type="presParOf" srcId="{4D3F11B3-1E82-4CEB-AF00-6C7703FC42CF}" destId="{5121748A-C064-4F07-B29A-BC1E378A385F}" srcOrd="12" destOrd="0" presId="urn:microsoft.com/office/officeart/2005/8/layout/radial1"/>
    <dgm:cxn modelId="{EB71465D-58D6-4F87-9A31-0239611AF2C9}" type="presParOf" srcId="{4D3F11B3-1E82-4CEB-AF00-6C7703FC42CF}" destId="{63A62071-96F8-4F95-A539-2A9280331C59}" srcOrd="13" destOrd="0" presId="urn:microsoft.com/office/officeart/2005/8/layout/radial1"/>
    <dgm:cxn modelId="{2D65B74A-A9C4-4584-9202-70C53B8BC570}" type="presParOf" srcId="{63A62071-96F8-4F95-A539-2A9280331C59}" destId="{7269A8ED-47BB-4D9C-A364-96B972E4CC38}" srcOrd="0" destOrd="0" presId="urn:microsoft.com/office/officeart/2005/8/layout/radial1"/>
    <dgm:cxn modelId="{9974CAFB-A991-4442-928B-0042995C1CA8}" type="presParOf" srcId="{4D3F11B3-1E82-4CEB-AF00-6C7703FC42CF}" destId="{2152CD24-9E02-4B5D-B717-786168059891}" srcOrd="14" destOrd="0" presId="urn:microsoft.com/office/officeart/2005/8/layout/radial1"/>
    <dgm:cxn modelId="{37AB371F-0B8B-45DC-9B70-8F4B766E6BE9}" type="presParOf" srcId="{4D3F11B3-1E82-4CEB-AF00-6C7703FC42CF}" destId="{95071ACE-EE65-427E-B192-8848668B3C54}" srcOrd="15" destOrd="0" presId="urn:microsoft.com/office/officeart/2005/8/layout/radial1"/>
    <dgm:cxn modelId="{8F697A00-0B30-4901-B4BC-C7BB89C583A0}" type="presParOf" srcId="{95071ACE-EE65-427E-B192-8848668B3C54}" destId="{38B8543D-D17F-4615-8B96-6160504D83A1}" srcOrd="0" destOrd="0" presId="urn:microsoft.com/office/officeart/2005/8/layout/radial1"/>
    <dgm:cxn modelId="{0C7E59F2-C606-4A55-AEC9-47F1335E0204}" type="presParOf" srcId="{4D3F11B3-1E82-4CEB-AF00-6C7703FC42CF}" destId="{FFC70FED-FD9C-45A7-8173-C26759F0C0C6}" srcOrd="16" destOrd="0" presId="urn:microsoft.com/office/officeart/2005/8/layout/radial1"/>
    <dgm:cxn modelId="{2B275CF1-5F7E-4B06-9B70-144AC90C93B4}" type="presParOf" srcId="{4D3F11B3-1E82-4CEB-AF00-6C7703FC42CF}" destId="{C87936ED-FAEF-4020-BE22-7B6CCB8E1B16}" srcOrd="17" destOrd="0" presId="urn:microsoft.com/office/officeart/2005/8/layout/radial1"/>
    <dgm:cxn modelId="{58234042-1E2A-4A59-9D42-D64E88F1EA27}" type="presParOf" srcId="{C87936ED-FAEF-4020-BE22-7B6CCB8E1B16}" destId="{9C61E384-21B4-4471-BAD3-975ED27BC047}" srcOrd="0" destOrd="0" presId="urn:microsoft.com/office/officeart/2005/8/layout/radial1"/>
    <dgm:cxn modelId="{9B556D73-293E-4E76-8421-F2B2B94E92B5}" type="presParOf" srcId="{4D3F11B3-1E82-4CEB-AF00-6C7703FC42CF}" destId="{1B7DCB21-28B2-4873-9784-29F4DED739B2}" srcOrd="18" destOrd="0" presId="urn:microsoft.com/office/officeart/2005/8/layout/radial1"/>
    <dgm:cxn modelId="{892BD92C-9E8E-4F5A-9EC4-E6AA42E08CB8}" type="presParOf" srcId="{4D3F11B3-1E82-4CEB-AF00-6C7703FC42CF}" destId="{DEF68B88-B9BB-48E8-A8DB-C71B9BA03585}" srcOrd="19" destOrd="0" presId="urn:microsoft.com/office/officeart/2005/8/layout/radial1"/>
    <dgm:cxn modelId="{DC524DD7-9E8E-4841-8673-9316EA734069}" type="presParOf" srcId="{DEF68B88-B9BB-48E8-A8DB-C71B9BA03585}" destId="{221E25A6-03AE-4DE1-B212-BBE9583B8C9E}" srcOrd="0" destOrd="0" presId="urn:microsoft.com/office/officeart/2005/8/layout/radial1"/>
    <dgm:cxn modelId="{D366ACCD-6AD6-4541-8129-5A1F70FB98D3}" type="presParOf" srcId="{4D3F11B3-1E82-4CEB-AF00-6C7703FC42CF}" destId="{4308602A-F09F-4BBC-8967-B1757111AB00}" srcOrd="20" destOrd="0" presId="urn:microsoft.com/office/officeart/2005/8/layout/radial1"/>
    <dgm:cxn modelId="{D1C4DDFF-602B-41DA-A534-860389B28328}" type="presParOf" srcId="{4D3F11B3-1E82-4CEB-AF00-6C7703FC42CF}" destId="{A4EFBDEA-7DE3-4515-81AE-9133DCD43C8A}" srcOrd="21" destOrd="0" presId="urn:microsoft.com/office/officeart/2005/8/layout/radial1"/>
    <dgm:cxn modelId="{F5B502E5-97A2-4199-B102-8F20FD26A529}" type="presParOf" srcId="{A4EFBDEA-7DE3-4515-81AE-9133DCD43C8A}" destId="{E00B1961-59DF-4A02-B97D-F354E6979EDF}" srcOrd="0" destOrd="0" presId="urn:microsoft.com/office/officeart/2005/8/layout/radial1"/>
    <dgm:cxn modelId="{E16109FC-DE2D-4585-857C-D048A42F9FB3}" type="presParOf" srcId="{4D3F11B3-1E82-4CEB-AF00-6C7703FC42CF}" destId="{80C33C16-4C3B-4277-8043-B8CD637ACA5E}" srcOrd="22" destOrd="0" presId="urn:microsoft.com/office/officeart/2005/8/layout/radial1"/>
  </dgm:cxnLst>
  <dgm:bg>
    <a:noFill/>
  </dgm:bg>
  <dgm:whole>
    <a:ln>
      <a:noFill/>
    </a:ln>
  </dgm:whole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AA6C56E-F98B-4A50-BD52-A8DB6E487BBA}">
      <dsp:nvSpPr>
        <dsp:cNvPr id="0" name=""/>
        <dsp:cNvSpPr/>
      </dsp:nvSpPr>
      <dsp:spPr>
        <a:xfrm>
          <a:off x="4378242" y="2517124"/>
          <a:ext cx="585635" cy="546180"/>
        </a:xfrm>
        <a:prstGeom prst="ellipse">
          <a:avLst/>
        </a:prstGeom>
        <a:solidFill>
          <a:schemeClr val="dk2"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5715" tIns="5715" rIns="5715" bIns="5715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latin typeface="Poppins" panose="00000500000000000000" pitchFamily="2" charset="0"/>
              <a:cs typeface="Poppins" panose="00000500000000000000" pitchFamily="2" charset="0"/>
            </a:rPr>
            <a:t>Valor</a:t>
          </a:r>
        </a:p>
      </dsp:txBody>
      <dsp:txXfrm>
        <a:off x="4464006" y="2597110"/>
        <a:ext cx="414107" cy="386208"/>
      </dsp:txXfrm>
    </dsp:sp>
    <dsp:sp modelId="{E05EE0D6-A493-4691-A492-AA96A8B0E52E}">
      <dsp:nvSpPr>
        <dsp:cNvPr id="0" name=""/>
        <dsp:cNvSpPr/>
      </dsp:nvSpPr>
      <dsp:spPr>
        <a:xfrm rot="16200000">
          <a:off x="3916555" y="1753136"/>
          <a:ext cx="1509009" cy="18966"/>
        </a:xfrm>
        <a:custGeom>
          <a:avLst/>
          <a:gdLst/>
          <a:ahLst/>
          <a:cxnLst/>
          <a:rect l="0" t="0" r="0" b="0"/>
          <a:pathLst>
            <a:path>
              <a:moveTo>
                <a:pt x="0" y="9483"/>
              </a:moveTo>
              <a:lnTo>
                <a:pt x="1509009" y="9483"/>
              </a:lnTo>
            </a:path>
          </a:pathLst>
        </a:custGeom>
        <a:noFill/>
        <a:ln w="25400" cap="flat" cmpd="sng" algn="ctr">
          <a:solidFill>
            <a:schemeClr val="dk2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z="-110000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900" kern="1200">
            <a:latin typeface="Poppins" panose="00000500000000000000" pitchFamily="2" charset="0"/>
            <a:cs typeface="Poppins" panose="00000500000000000000" pitchFamily="2" charset="0"/>
          </a:endParaRPr>
        </a:p>
      </dsp:txBody>
      <dsp:txXfrm>
        <a:off x="4633334" y="1724894"/>
        <a:ext cx="75450" cy="75450"/>
      </dsp:txXfrm>
    </dsp:sp>
    <dsp:sp modelId="{999C2C04-5DD1-4F83-866D-7D7CCD1410B5}">
      <dsp:nvSpPr>
        <dsp:cNvPr id="0" name=""/>
        <dsp:cNvSpPr/>
      </dsp:nvSpPr>
      <dsp:spPr>
        <a:xfrm>
          <a:off x="4178863" y="23722"/>
          <a:ext cx="984392" cy="984392"/>
        </a:xfrm>
        <a:prstGeom prst="ellipse">
          <a:avLst/>
        </a:prstGeom>
        <a:solidFill>
          <a:srgbClr val="143778"/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solidFill>
                <a:sysClr val="window" lastClr="FFFFFF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Cambio medio en (BCVA)</a:t>
          </a:r>
        </a:p>
      </dsp:txBody>
      <dsp:txXfrm>
        <a:off x="4323024" y="167883"/>
        <a:ext cx="696070" cy="696070"/>
      </dsp:txXfrm>
    </dsp:sp>
    <dsp:sp modelId="{09C9F539-94AA-4BD5-B82E-C3E7EFFA9D02}">
      <dsp:nvSpPr>
        <dsp:cNvPr id="0" name=""/>
        <dsp:cNvSpPr/>
      </dsp:nvSpPr>
      <dsp:spPr>
        <a:xfrm rot="18163636">
          <a:off x="4476236" y="1914013"/>
          <a:ext cx="1503659" cy="18966"/>
        </a:xfrm>
        <a:custGeom>
          <a:avLst/>
          <a:gdLst/>
          <a:ahLst/>
          <a:cxnLst/>
          <a:rect l="0" t="0" r="0" b="0"/>
          <a:pathLst>
            <a:path>
              <a:moveTo>
                <a:pt x="0" y="9483"/>
              </a:moveTo>
              <a:lnTo>
                <a:pt x="1503659" y="9483"/>
              </a:lnTo>
            </a:path>
          </a:pathLst>
        </a:custGeom>
        <a:noFill/>
        <a:ln w="25400" cap="flat" cmpd="sng" algn="ctr">
          <a:solidFill>
            <a:schemeClr val="dk2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z="-110000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900" kern="1200">
            <a:latin typeface="Poppins" panose="00000500000000000000" pitchFamily="2" charset="0"/>
            <a:cs typeface="Poppins" panose="00000500000000000000" pitchFamily="2" charset="0"/>
          </a:endParaRPr>
        </a:p>
      </dsp:txBody>
      <dsp:txXfrm>
        <a:off x="5190474" y="1885905"/>
        <a:ext cx="75182" cy="75182"/>
      </dsp:txXfrm>
    </dsp:sp>
    <dsp:sp modelId="{44BA647C-92C2-4F36-80B7-80A5A17F3B42}">
      <dsp:nvSpPr>
        <dsp:cNvPr id="0" name=""/>
        <dsp:cNvSpPr/>
      </dsp:nvSpPr>
      <dsp:spPr>
        <a:xfrm>
          <a:off x="5408440" y="384758"/>
          <a:ext cx="984392" cy="984392"/>
        </a:xfrm>
        <a:prstGeom prst="ellipse">
          <a:avLst/>
        </a:prstGeom>
        <a:solidFill>
          <a:srgbClr val="143778"/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solidFill>
                <a:sysClr val="window" lastClr="FFFFFF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Ganancia ≥15 letras en BCVA</a:t>
          </a:r>
        </a:p>
      </dsp:txBody>
      <dsp:txXfrm>
        <a:off x="5552601" y="528919"/>
        <a:ext cx="696070" cy="696070"/>
      </dsp:txXfrm>
    </dsp:sp>
    <dsp:sp modelId="{A97911A0-627F-4E09-A7A0-64B12264F819}">
      <dsp:nvSpPr>
        <dsp:cNvPr id="0" name=""/>
        <dsp:cNvSpPr/>
      </dsp:nvSpPr>
      <dsp:spPr>
        <a:xfrm rot="20116198">
          <a:off x="4867284" y="2357280"/>
          <a:ext cx="1446308" cy="18966"/>
        </a:xfrm>
        <a:custGeom>
          <a:avLst/>
          <a:gdLst/>
          <a:ahLst/>
          <a:cxnLst/>
          <a:rect l="0" t="0" r="0" b="0"/>
          <a:pathLst>
            <a:path>
              <a:moveTo>
                <a:pt x="0" y="9483"/>
              </a:moveTo>
              <a:lnTo>
                <a:pt x="1446308" y="9483"/>
              </a:lnTo>
            </a:path>
          </a:pathLst>
        </a:custGeom>
        <a:noFill/>
        <a:ln w="25400" cap="flat" cmpd="sng" algn="ctr">
          <a:solidFill>
            <a:schemeClr val="dk2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z="-110000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900" b="1" kern="1200">
            <a:solidFill>
              <a:schemeClr val="tx1"/>
            </a:solidFill>
            <a:latin typeface="Poppins" panose="00000500000000000000" pitchFamily="2" charset="0"/>
            <a:cs typeface="Poppins" panose="00000500000000000000" pitchFamily="2" charset="0"/>
          </a:endParaRPr>
        </a:p>
      </dsp:txBody>
      <dsp:txXfrm>
        <a:off x="5554281" y="2330605"/>
        <a:ext cx="72315" cy="72315"/>
      </dsp:txXfrm>
    </dsp:sp>
    <dsp:sp modelId="{3A1A464F-EA8F-4750-8422-FDC62C8B81D7}">
      <dsp:nvSpPr>
        <dsp:cNvPr id="0" name=""/>
        <dsp:cNvSpPr/>
      </dsp:nvSpPr>
      <dsp:spPr>
        <a:xfrm>
          <a:off x="6201230" y="1324273"/>
          <a:ext cx="1031309" cy="1047335"/>
        </a:xfrm>
        <a:prstGeom prst="ellipse">
          <a:avLst/>
        </a:prstGeom>
        <a:solidFill>
          <a:srgbClr val="4BACC6">
            <a:lumMod val="40000"/>
            <a:lumOff val="60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Desprendimiento de retina </a:t>
          </a:r>
        </a:p>
      </dsp:txBody>
      <dsp:txXfrm>
        <a:off x="6352262" y="1477652"/>
        <a:ext cx="729245" cy="740577"/>
      </dsp:txXfrm>
    </dsp:sp>
    <dsp:sp modelId="{88EF1F46-860B-4F71-80F0-E48521E65869}">
      <dsp:nvSpPr>
        <dsp:cNvPr id="0" name=""/>
        <dsp:cNvSpPr/>
      </dsp:nvSpPr>
      <dsp:spPr>
        <a:xfrm rot="490909">
          <a:off x="4952877" y="2928345"/>
          <a:ext cx="1489725" cy="18966"/>
        </a:xfrm>
        <a:custGeom>
          <a:avLst/>
          <a:gdLst/>
          <a:ahLst/>
          <a:cxnLst/>
          <a:rect l="0" t="0" r="0" b="0"/>
          <a:pathLst>
            <a:path>
              <a:moveTo>
                <a:pt x="0" y="9483"/>
              </a:moveTo>
              <a:lnTo>
                <a:pt x="1489725" y="9483"/>
              </a:lnTo>
            </a:path>
          </a:pathLst>
        </a:custGeom>
        <a:noFill/>
        <a:ln w="25400" cap="flat" cmpd="sng" algn="ctr">
          <a:solidFill>
            <a:schemeClr val="dk2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z="-110000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900" b="1" kern="1200">
            <a:solidFill>
              <a:schemeClr val="tx1"/>
            </a:solidFill>
            <a:latin typeface="Poppins" panose="00000500000000000000" pitchFamily="2" charset="0"/>
            <a:cs typeface="Poppins" panose="00000500000000000000" pitchFamily="2" charset="0"/>
          </a:endParaRPr>
        </a:p>
      </dsp:txBody>
      <dsp:txXfrm>
        <a:off x="5660496" y="2900586"/>
        <a:ext cx="74486" cy="74486"/>
      </dsp:txXfrm>
    </dsp:sp>
    <dsp:sp modelId="{1D0F4F1B-27DA-407B-9EB5-382A4515191D}">
      <dsp:nvSpPr>
        <dsp:cNvPr id="0" name=""/>
        <dsp:cNvSpPr/>
      </dsp:nvSpPr>
      <dsp:spPr>
        <a:xfrm>
          <a:off x="6430010" y="2621684"/>
          <a:ext cx="984392" cy="984392"/>
        </a:xfrm>
        <a:prstGeom prst="ellipse">
          <a:avLst/>
        </a:prstGeom>
        <a:solidFill>
          <a:srgbClr val="4BACC6">
            <a:lumMod val="40000"/>
            <a:lumOff val="60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Infarto agudo de miocardio</a:t>
          </a:r>
        </a:p>
      </dsp:txBody>
      <dsp:txXfrm>
        <a:off x="6574171" y="2765845"/>
        <a:ext cx="696070" cy="696070"/>
      </dsp:txXfrm>
    </dsp:sp>
    <dsp:sp modelId="{6E3EED86-F604-4D0E-88C8-9AEE57A8AD96}">
      <dsp:nvSpPr>
        <dsp:cNvPr id="0" name=""/>
        <dsp:cNvSpPr/>
      </dsp:nvSpPr>
      <dsp:spPr>
        <a:xfrm rot="2454545">
          <a:off x="4702604" y="3457185"/>
          <a:ext cx="1498251" cy="18966"/>
        </a:xfrm>
        <a:custGeom>
          <a:avLst/>
          <a:gdLst/>
          <a:ahLst/>
          <a:cxnLst/>
          <a:rect l="0" t="0" r="0" b="0"/>
          <a:pathLst>
            <a:path>
              <a:moveTo>
                <a:pt x="0" y="9483"/>
              </a:moveTo>
              <a:lnTo>
                <a:pt x="1498251" y="9483"/>
              </a:lnTo>
            </a:path>
          </a:pathLst>
        </a:custGeom>
        <a:noFill/>
        <a:ln w="25400" cap="flat" cmpd="sng" algn="ctr">
          <a:solidFill>
            <a:schemeClr val="dk2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z="-110000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marL="0" lvl="0" indent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500" kern="1200"/>
        </a:p>
      </dsp:txBody>
      <dsp:txXfrm>
        <a:off x="5414273" y="3429212"/>
        <a:ext cx="74912" cy="74912"/>
      </dsp:txXfrm>
    </dsp:sp>
    <dsp:sp modelId="{42312E5F-B6A7-41F9-8C1D-AA37673D0641}">
      <dsp:nvSpPr>
        <dsp:cNvPr id="0" name=""/>
        <dsp:cNvSpPr/>
      </dsp:nvSpPr>
      <dsp:spPr>
        <a:xfrm>
          <a:off x="5897661" y="3787365"/>
          <a:ext cx="984392" cy="984392"/>
        </a:xfrm>
        <a:prstGeom prst="ellipse">
          <a:avLst/>
        </a:prstGeom>
        <a:solidFill>
          <a:srgbClr val="4BACC6">
            <a:lumMod val="40000"/>
            <a:lumOff val="60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Evento cerebrovascular</a:t>
          </a:r>
        </a:p>
      </dsp:txBody>
      <dsp:txXfrm>
        <a:off x="6041822" y="3931526"/>
        <a:ext cx="696070" cy="696070"/>
      </dsp:txXfrm>
    </dsp:sp>
    <dsp:sp modelId="{49CF188C-9BE1-4A83-8EEA-F1EDC820D77C}">
      <dsp:nvSpPr>
        <dsp:cNvPr id="0" name=""/>
        <dsp:cNvSpPr/>
      </dsp:nvSpPr>
      <dsp:spPr>
        <a:xfrm rot="4418182">
          <a:off x="4206973" y="3767384"/>
          <a:ext cx="1507587" cy="18966"/>
        </a:xfrm>
        <a:custGeom>
          <a:avLst/>
          <a:gdLst/>
          <a:ahLst/>
          <a:cxnLst/>
          <a:rect l="0" t="0" r="0" b="0"/>
          <a:pathLst>
            <a:path>
              <a:moveTo>
                <a:pt x="0" y="9483"/>
              </a:moveTo>
              <a:lnTo>
                <a:pt x="1507587" y="9483"/>
              </a:lnTo>
            </a:path>
          </a:pathLst>
        </a:custGeom>
        <a:noFill/>
        <a:ln w="25400" cap="flat" cmpd="sng" algn="ctr">
          <a:solidFill>
            <a:schemeClr val="dk2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z="-110000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900" kern="1200">
            <a:latin typeface="Poppins" panose="00000500000000000000" pitchFamily="2" charset="0"/>
            <a:cs typeface="Poppins" panose="00000500000000000000" pitchFamily="2" charset="0"/>
          </a:endParaRPr>
        </a:p>
      </dsp:txBody>
      <dsp:txXfrm>
        <a:off x="4923077" y="3739177"/>
        <a:ext cx="75379" cy="75379"/>
      </dsp:txXfrm>
    </dsp:sp>
    <dsp:sp modelId="{5121748A-C064-4F07-B29A-BC1E378A385F}">
      <dsp:nvSpPr>
        <dsp:cNvPr id="0" name=""/>
        <dsp:cNvSpPr/>
      </dsp:nvSpPr>
      <dsp:spPr>
        <a:xfrm>
          <a:off x="4819606" y="4480189"/>
          <a:ext cx="984392" cy="984392"/>
        </a:xfrm>
        <a:prstGeom prst="ellipse">
          <a:avLst/>
        </a:prstGeom>
        <a:solidFill>
          <a:srgbClr val="4BACC6">
            <a:lumMod val="40000"/>
            <a:lumOff val="60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Vitreitis</a:t>
          </a:r>
        </a:p>
      </dsp:txBody>
      <dsp:txXfrm>
        <a:off x="4963767" y="4624350"/>
        <a:ext cx="696070" cy="696070"/>
      </dsp:txXfrm>
    </dsp:sp>
    <dsp:sp modelId="{63A62071-96F8-4F95-A539-2A9280331C59}">
      <dsp:nvSpPr>
        <dsp:cNvPr id="0" name=""/>
        <dsp:cNvSpPr/>
      </dsp:nvSpPr>
      <dsp:spPr>
        <a:xfrm rot="6404969">
          <a:off x="3607189" y="3775667"/>
          <a:ext cx="1528876" cy="18966"/>
        </a:xfrm>
        <a:custGeom>
          <a:avLst/>
          <a:gdLst/>
          <a:ahLst/>
          <a:cxnLst/>
          <a:rect l="0" t="0" r="0" b="0"/>
          <a:pathLst>
            <a:path>
              <a:moveTo>
                <a:pt x="0" y="9483"/>
              </a:moveTo>
              <a:lnTo>
                <a:pt x="1528876" y="9483"/>
              </a:lnTo>
            </a:path>
          </a:pathLst>
        </a:custGeom>
        <a:noFill/>
        <a:ln w="25400" cap="flat" cmpd="sng" algn="ctr">
          <a:solidFill>
            <a:schemeClr val="dk2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z="-110000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900" kern="1200">
            <a:latin typeface="Poppins" panose="00000500000000000000" pitchFamily="2" charset="0"/>
            <a:cs typeface="Poppins" panose="00000500000000000000" pitchFamily="2" charset="0"/>
          </a:endParaRPr>
        </a:p>
      </dsp:txBody>
      <dsp:txXfrm rot="10800000">
        <a:off x="4333406" y="3746928"/>
        <a:ext cx="76443" cy="76443"/>
      </dsp:txXfrm>
    </dsp:sp>
    <dsp:sp modelId="{2152CD24-9E02-4B5D-B717-786168059891}">
      <dsp:nvSpPr>
        <dsp:cNvPr id="0" name=""/>
        <dsp:cNvSpPr/>
      </dsp:nvSpPr>
      <dsp:spPr>
        <a:xfrm>
          <a:off x="3517284" y="4496274"/>
          <a:ext cx="984392" cy="984392"/>
        </a:xfrm>
        <a:prstGeom prst="ellipse">
          <a:avLst/>
        </a:prstGeom>
        <a:solidFill>
          <a:srgbClr val="4BACC6">
            <a:lumMod val="40000"/>
            <a:lumOff val="60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Supresión sistémica de VEGF</a:t>
          </a:r>
        </a:p>
      </dsp:txBody>
      <dsp:txXfrm>
        <a:off x="3661445" y="4640435"/>
        <a:ext cx="696070" cy="696070"/>
      </dsp:txXfrm>
    </dsp:sp>
    <dsp:sp modelId="{95071ACE-EE65-427E-B192-8848668B3C54}">
      <dsp:nvSpPr>
        <dsp:cNvPr id="0" name=""/>
        <dsp:cNvSpPr/>
      </dsp:nvSpPr>
      <dsp:spPr>
        <a:xfrm rot="8345455">
          <a:off x="3141264" y="3457185"/>
          <a:ext cx="1498251" cy="18966"/>
        </a:xfrm>
        <a:custGeom>
          <a:avLst/>
          <a:gdLst/>
          <a:ahLst/>
          <a:cxnLst/>
          <a:rect l="0" t="0" r="0" b="0"/>
          <a:pathLst>
            <a:path>
              <a:moveTo>
                <a:pt x="0" y="9483"/>
              </a:moveTo>
              <a:lnTo>
                <a:pt x="1498251" y="9483"/>
              </a:lnTo>
            </a:path>
          </a:pathLst>
        </a:custGeom>
        <a:noFill/>
        <a:ln w="25400" cap="flat" cmpd="sng" algn="ctr">
          <a:solidFill>
            <a:schemeClr val="dk2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z="-110000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900" kern="1200">
            <a:latin typeface="Poppins" panose="00000500000000000000" pitchFamily="2" charset="0"/>
            <a:cs typeface="Poppins" panose="00000500000000000000" pitchFamily="2" charset="0"/>
          </a:endParaRPr>
        </a:p>
      </dsp:txBody>
      <dsp:txXfrm rot="10800000">
        <a:off x="3852933" y="3429212"/>
        <a:ext cx="74912" cy="74912"/>
      </dsp:txXfrm>
    </dsp:sp>
    <dsp:sp modelId="{FFC70FED-FD9C-45A7-8173-C26759F0C0C6}">
      <dsp:nvSpPr>
        <dsp:cNvPr id="0" name=""/>
        <dsp:cNvSpPr/>
      </dsp:nvSpPr>
      <dsp:spPr>
        <a:xfrm>
          <a:off x="2460065" y="3787365"/>
          <a:ext cx="984392" cy="984392"/>
        </a:xfrm>
        <a:prstGeom prst="ellipse">
          <a:avLst/>
        </a:prstGeom>
        <a:solidFill>
          <a:srgbClr val="4BACC6">
            <a:lumMod val="75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715" tIns="5715" rIns="5715" bIns="5715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 dirty="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Calidad de vida</a:t>
          </a:r>
        </a:p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900" b="1" kern="1200" dirty="0">
            <a:solidFill>
              <a:sysClr val="windowText" lastClr="000000"/>
            </a:solidFill>
            <a:latin typeface="Poppins" panose="00000500000000000000" pitchFamily="2" charset="0"/>
            <a:ea typeface="+mn-ea"/>
            <a:cs typeface="Poppins" panose="00000500000000000000" pitchFamily="2" charset="0"/>
          </a:endParaRPr>
        </a:p>
      </dsp:txBody>
      <dsp:txXfrm>
        <a:off x="2604226" y="3931526"/>
        <a:ext cx="696070" cy="696070"/>
      </dsp:txXfrm>
    </dsp:sp>
    <dsp:sp modelId="{C87936ED-FAEF-4020-BE22-7B6CCB8E1B16}">
      <dsp:nvSpPr>
        <dsp:cNvPr id="0" name=""/>
        <dsp:cNvSpPr/>
      </dsp:nvSpPr>
      <dsp:spPr>
        <a:xfrm rot="10309091">
          <a:off x="2899517" y="2928345"/>
          <a:ext cx="1489725" cy="18966"/>
        </a:xfrm>
        <a:custGeom>
          <a:avLst/>
          <a:gdLst/>
          <a:ahLst/>
          <a:cxnLst/>
          <a:rect l="0" t="0" r="0" b="0"/>
          <a:pathLst>
            <a:path>
              <a:moveTo>
                <a:pt x="0" y="9483"/>
              </a:moveTo>
              <a:lnTo>
                <a:pt x="1489725" y="9483"/>
              </a:lnTo>
            </a:path>
          </a:pathLst>
        </a:custGeom>
        <a:noFill/>
        <a:ln w="25400" cap="flat" cmpd="sng" algn="ctr">
          <a:solidFill>
            <a:schemeClr val="dk2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z="-110000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900" kern="1200">
            <a:latin typeface="Poppins" panose="00000500000000000000" pitchFamily="2" charset="0"/>
            <a:cs typeface="Poppins" panose="00000500000000000000" pitchFamily="2" charset="0"/>
          </a:endParaRPr>
        </a:p>
      </dsp:txBody>
      <dsp:txXfrm rot="10800000">
        <a:off x="3607137" y="2900586"/>
        <a:ext cx="74486" cy="74486"/>
      </dsp:txXfrm>
    </dsp:sp>
    <dsp:sp modelId="{1B7DCB21-28B2-4873-9784-29F4DED739B2}">
      <dsp:nvSpPr>
        <dsp:cNvPr id="0" name=""/>
        <dsp:cNvSpPr/>
      </dsp:nvSpPr>
      <dsp:spPr>
        <a:xfrm>
          <a:off x="1927716" y="2621684"/>
          <a:ext cx="984392" cy="984392"/>
        </a:xfrm>
        <a:prstGeom prst="ellipse">
          <a:avLst/>
        </a:prstGeom>
        <a:solidFill>
          <a:srgbClr val="4BACC6">
            <a:lumMod val="75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715" tIns="5715" rIns="5715" bIns="5715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Discapacidad</a:t>
          </a:r>
        </a:p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900" b="1" kern="1200" dirty="0">
            <a:solidFill>
              <a:sysClr val="windowText" lastClr="000000"/>
            </a:solidFill>
            <a:latin typeface="Poppins" panose="00000500000000000000" pitchFamily="2" charset="0"/>
            <a:ea typeface="+mn-ea"/>
            <a:cs typeface="Poppins" panose="00000500000000000000" pitchFamily="2" charset="0"/>
          </a:endParaRPr>
        </a:p>
      </dsp:txBody>
      <dsp:txXfrm>
        <a:off x="2071877" y="2765845"/>
        <a:ext cx="696070" cy="696070"/>
      </dsp:txXfrm>
    </dsp:sp>
    <dsp:sp modelId="{DEF68B88-B9BB-48E8-A8DB-C71B9BA03585}">
      <dsp:nvSpPr>
        <dsp:cNvPr id="0" name=""/>
        <dsp:cNvSpPr/>
      </dsp:nvSpPr>
      <dsp:spPr>
        <a:xfrm rot="12272727">
          <a:off x="2982545" y="2350526"/>
          <a:ext cx="1492992" cy="18966"/>
        </a:xfrm>
        <a:custGeom>
          <a:avLst/>
          <a:gdLst/>
          <a:ahLst/>
          <a:cxnLst/>
          <a:rect l="0" t="0" r="0" b="0"/>
          <a:pathLst>
            <a:path>
              <a:moveTo>
                <a:pt x="0" y="9483"/>
              </a:moveTo>
              <a:lnTo>
                <a:pt x="1492992" y="9483"/>
              </a:lnTo>
            </a:path>
          </a:pathLst>
        </a:custGeom>
        <a:noFill/>
        <a:ln w="25400" cap="flat" cmpd="sng" algn="ctr">
          <a:solidFill>
            <a:schemeClr val="dk2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z="-110000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900" kern="1200">
            <a:latin typeface="Poppins" panose="00000500000000000000" pitchFamily="2" charset="0"/>
            <a:cs typeface="Poppins" panose="00000500000000000000" pitchFamily="2" charset="0"/>
          </a:endParaRPr>
        </a:p>
      </dsp:txBody>
      <dsp:txXfrm rot="10800000">
        <a:off x="3691717" y="2322684"/>
        <a:ext cx="74649" cy="74649"/>
      </dsp:txXfrm>
    </dsp:sp>
    <dsp:sp modelId="{4308602A-F09F-4BBC-8967-B1757111AB00}">
      <dsp:nvSpPr>
        <dsp:cNvPr id="0" name=""/>
        <dsp:cNvSpPr/>
      </dsp:nvSpPr>
      <dsp:spPr>
        <a:xfrm>
          <a:off x="2110090" y="1353241"/>
          <a:ext cx="984392" cy="984392"/>
        </a:xfrm>
        <a:prstGeom prst="ellipse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800" b="1" kern="120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Estado de aprobación regulatoria</a:t>
          </a:r>
        </a:p>
      </dsp:txBody>
      <dsp:txXfrm>
        <a:off x="2254251" y="1497402"/>
        <a:ext cx="696070" cy="696070"/>
      </dsp:txXfrm>
    </dsp:sp>
    <dsp:sp modelId="{A4EFBDEA-7DE3-4515-81AE-9133DCD43C8A}">
      <dsp:nvSpPr>
        <dsp:cNvPr id="0" name=""/>
        <dsp:cNvSpPr/>
      </dsp:nvSpPr>
      <dsp:spPr>
        <a:xfrm rot="14236364">
          <a:off x="3362224" y="1914013"/>
          <a:ext cx="1503659" cy="18966"/>
        </a:xfrm>
        <a:custGeom>
          <a:avLst/>
          <a:gdLst/>
          <a:ahLst/>
          <a:cxnLst/>
          <a:rect l="0" t="0" r="0" b="0"/>
          <a:pathLst>
            <a:path>
              <a:moveTo>
                <a:pt x="0" y="9483"/>
              </a:moveTo>
              <a:lnTo>
                <a:pt x="1503659" y="9483"/>
              </a:lnTo>
            </a:path>
          </a:pathLst>
        </a:custGeom>
        <a:noFill/>
        <a:ln w="25400" cap="flat" cmpd="sng" algn="ctr">
          <a:solidFill>
            <a:schemeClr val="dk2">
              <a:shade val="60000"/>
              <a:hueOff val="0"/>
              <a:satOff val="0"/>
              <a:lumOff val="0"/>
              <a:alphaOff val="0"/>
            </a:schemeClr>
          </a:solidFill>
          <a:prstDash val="solid"/>
        </a:ln>
        <a:effectLst/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z="-110000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CO" sz="900" kern="1200">
            <a:latin typeface="Poppins" panose="00000500000000000000" pitchFamily="2" charset="0"/>
            <a:cs typeface="Poppins" panose="00000500000000000000" pitchFamily="2" charset="0"/>
          </a:endParaRPr>
        </a:p>
      </dsp:txBody>
      <dsp:txXfrm rot="10800000">
        <a:off x="4076462" y="1885905"/>
        <a:ext cx="75182" cy="75182"/>
      </dsp:txXfrm>
    </dsp:sp>
    <dsp:sp modelId="{80C33C16-4C3B-4277-8043-B8CD637ACA5E}">
      <dsp:nvSpPr>
        <dsp:cNvPr id="0" name=""/>
        <dsp:cNvSpPr/>
      </dsp:nvSpPr>
      <dsp:spPr>
        <a:xfrm>
          <a:off x="2949286" y="384758"/>
          <a:ext cx="984392" cy="984392"/>
        </a:xfrm>
        <a:prstGeom prst="ellipse">
          <a:avLst/>
        </a:prstGeom>
        <a:solidFill>
          <a:srgbClr val="1F497D">
            <a:lumMod val="60000"/>
            <a:lumOff val="40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800" b="1" kern="120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Inclusión en guías de práctica clínica</a:t>
          </a:r>
        </a:p>
      </dsp:txBody>
      <dsp:txXfrm>
        <a:off x="3093447" y="528919"/>
        <a:ext cx="696070" cy="696070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radial1">
  <dgm:title val=""/>
  <dgm:desc val=""/>
  <dgm:catLst>
    <dgm:cat type="relationship" pri="22000"/>
    <dgm:cat type="cycle" pri="10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  <dgm:pt modelId="14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  <dgm:cxn modelId="6" srcId="1" destId="14" srcOrd="3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12"/>
        <dgm:pt modelId="13"/>
      </dgm:ptLst>
      <dgm:cxnLst>
        <dgm:cxn modelId="2" srcId="0" destId="1" srcOrd="0" destOrd="0"/>
        <dgm:cxn modelId="15" srcId="1" destId="11" srcOrd="0" destOrd="0"/>
        <dgm:cxn modelId="16" srcId="1" destId="12" srcOrd="1" destOrd="0"/>
        <dgm:cxn modelId="17" srcId="1" destId="13" srcOrd="2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12"/>
        <dgm:pt modelId="13"/>
        <dgm:pt modelId="14"/>
        <dgm:pt modelId="15"/>
        <dgm:pt modelId="16"/>
      </dgm:ptLst>
      <dgm:cxnLst>
        <dgm:cxn modelId="2" srcId="0" destId="1" srcOrd="0" destOrd="0"/>
        <dgm:cxn modelId="16" srcId="1" destId="11" srcOrd="0" destOrd="0"/>
        <dgm:cxn modelId="17" srcId="1" destId="12" srcOrd="1" destOrd="0"/>
        <dgm:cxn modelId="18" srcId="1" destId="13" srcOrd="2" destOrd="0"/>
        <dgm:cxn modelId="19" srcId="1" destId="14" srcOrd="3" destOrd="0"/>
        <dgm:cxn modelId="20" srcId="1" destId="15" srcOrd="4" destOrd="0"/>
        <dgm:cxn modelId="21" srcId="1" destId="16" srcOrd="5" destOrd="0"/>
      </dgm:cxnLst>
      <dgm:bg/>
      <dgm:whole/>
    </dgm:dataModel>
  </dgm:clrData>
  <dgm:layoutNode name="cycle">
    <dgm:varLst>
      <dgm:chMax val="1"/>
      <dgm:dir/>
      <dgm:animLvl val="ctr"/>
      <dgm:resizeHandles val="exact"/>
    </dgm:varLst>
    <dgm:choose name="Name0">
      <dgm:if name="Name1" func="var" arg="dir" op="equ" val="norm">
        <dgm:choose name="Name2">
          <dgm:if name="Name3" axis="ch ch" ptType="node node" st="1 1" cnt="1 0" func="cnt" op="lte" val="1">
            <dgm:alg type="cycle">
              <dgm:param type="stAng" val="90"/>
              <dgm:param type="spanAng" val="360"/>
              <dgm:param type="ctrShpMap" val="fNode"/>
            </dgm:alg>
          </dgm:if>
          <dgm:else name="Name4">
            <dgm:alg type="cycle">
              <dgm:param type="stAng" val="0"/>
              <dgm:param type="spanAng" val="360"/>
              <dgm:param type="ctrShpMap" val="fNode"/>
            </dgm:alg>
          </dgm:else>
        </dgm:choose>
      </dgm:if>
      <dgm:else name="Name5">
        <dgm:alg type="cycle">
          <dgm:param type="stAng" val="0"/>
          <dgm:param type="spanAng" val="-360"/>
          <dgm:param type="ctrShpMap" val="fNode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enterShape" refType="w"/>
      <dgm:constr type="w" for="ch" forName="node" refType="w" refFor="ch" refForName="centerShape" op="equ"/>
      <dgm:constr type="sp" refType="w" refFor="ch" refForName="node" fact="0.3"/>
      <dgm:constr type="sibSp" refType="w" refFor="ch" refForName="node" fact="0.3"/>
      <dgm:constr type="primFontSz" for="ch" forName="centerShape" val="65"/>
      <dgm:constr type="primFontSz" for="des" forName="node" op="equ" val="65"/>
      <dgm:constr type="primFontSz" for="des" forName="connTx" val="55"/>
      <dgm:constr type="primFontSz" for="des" forName="connTx" refType="primFontSz" refFor="ch" refForName="centerShape" op="lte" fact="0.8"/>
    </dgm:constrLst>
    <dgm:ruleLst/>
    <dgm:forEach name="Name6" axis="ch" ptType="node" cnt="1">
      <dgm:layoutNode name="centerShape" styleLbl="node0">
        <dgm:alg type="tx"/>
        <dgm:shape xmlns:r="http://schemas.openxmlformats.org/officeDocument/2006/relationships" type="ellipse" r:blip="">
          <dgm:adjLst/>
        </dgm:shape>
        <dgm:presOf axis="self"/>
        <dgm:constrLst>
          <dgm:constr type="h" refType="w"/>
          <dgm:constr type="tMarg" refType="primFontSz" fact="0.05"/>
          <dgm:constr type="bMarg" refType="primFontSz" fact="0.05"/>
          <dgm:constr type="lMarg" refType="primFontSz" fact="0.05"/>
          <dgm:constr type="rMarg" refType="primFontSz" fact="0.05"/>
        </dgm:constrLst>
        <dgm:ruleLst>
          <dgm:rule type="primFontSz" val="5" fact="NaN" max="NaN"/>
        </dgm:ruleLst>
      </dgm:layoutNode>
      <dgm:forEach name="Name7" axis="ch">
        <dgm:forEach name="Name8" axis="self" ptType="parTrans">
          <dgm:layoutNode name="Name9">
            <dgm:alg type="conn">
              <dgm:param type="dim" val="1D"/>
              <dgm:param type="begPts" val="auto"/>
              <dgm:param type="endPts" val="auto"/>
              <dgm:param type="begSty" val="noArr"/>
              <dgm:param type="endSty" val="noArr"/>
            </dgm:alg>
            <dgm:shape xmlns:r="http://schemas.openxmlformats.org/officeDocument/2006/relationships" type="conn" r:blip="">
              <dgm:adjLst/>
            </dgm:shape>
            <dgm:presOf axis="self"/>
            <dgm:constrLst>
              <dgm:constr type="connDist"/>
              <dgm:constr type="userA" for="ch" refType="connDist"/>
              <dgm:constr type="w" val="1"/>
              <dgm:constr type="h" val="5"/>
              <dgm:constr type="begPad"/>
              <dgm:constr type="endPad"/>
            </dgm:constrLst>
            <dgm:ruleLst/>
            <dgm:layoutNode name="connTx">
              <dgm:alg type="tx">
                <dgm:param type="autoTxRot" val="grav"/>
              </dgm:alg>
              <dgm:shape xmlns:r="http://schemas.openxmlformats.org/officeDocument/2006/relationships" type="rect" r:blip="" hideGeom="1">
                <dgm:adjLst/>
              </dgm:shape>
              <dgm:presOf axis="self"/>
              <dgm:constrLst>
                <dgm:constr type="userA"/>
                <dgm:constr type="w" refType="userA" fact="0.05"/>
                <dgm:constr type="h" refType="userA" fact="0.05"/>
                <dgm:constr type="lMarg" val="1"/>
                <dgm:constr type="rMarg" val="1"/>
                <dgm:constr type="tMarg"/>
                <dgm:constr type="bMarg"/>
              </dgm:constrLst>
              <dgm:ruleLst>
                <dgm:rule type="w" val="NaN" fact="0.8" max="NaN"/>
                <dgm:rule type="h" val="NaN" fact="1" max="NaN"/>
                <dgm:rule type="primFontSz" val="5" fact="NaN" max="NaN"/>
              </dgm:ruleLst>
            </dgm:layoutNode>
          </dgm:layoutNode>
        </dgm:forEach>
        <dgm:forEach name="Name10" axis="self" ptType="node">
          <dgm:layoutNode name="node" styleLbl="node1">
            <dgm:varLst>
              <dgm:bulletEnabled val="1"/>
            </dgm:varLst>
            <dgm:alg type="tx">
              <dgm:param type="txAnchorVertCh" val="mid"/>
            </dgm:alg>
            <dgm:shape xmlns:r="http://schemas.openxmlformats.org/officeDocument/2006/relationships" type="ellipse" r:blip="">
              <dgm:adjLst/>
            </dgm:shape>
            <dgm:presOf axis="desOrSelf" ptType="node"/>
            <dgm:constrLst>
              <dgm:constr type="h" refType="w"/>
              <dgm:constr type="tMarg" refType="primFontSz" fact="0.05"/>
              <dgm:constr type="bMarg" refType="primFontSz" fact="0.05"/>
              <dgm:constr type="lMarg" refType="primFontSz" fact="0.05"/>
              <dgm:constr type="rMarg" refType="primFontSz" fact="0.05"/>
            </dgm:constrLst>
            <dgm:ruleLst>
              <dgm:rule type="primFontSz" val="5" fact="NaN" max="NaN"/>
            </dgm:ruleLst>
          </dgm:layoutNode>
        </dgm:forEach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3d3">
  <dgm:title val=""/>
  <dgm:desc val=""/>
  <dgm:catLst>
    <dgm:cat type="3D" pri="11300"/>
  </dgm:catLst>
  <dgm:scene3d>
    <a:camera prst="orthographicFront"/>
    <a:lightRig rig="threePt" dir="t"/>
  </dgm:scene3d>
  <dgm:styleLbl name="node0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ln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2700" prstMaterial="clear">
      <a:bevelT w="177800" h="254000"/>
      <a:bevelB w="1524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2700" prstMaterial="flat">
      <a:bevelT w="177800" h="254000"/>
      <a:bevelB w="1524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>
        <a:rot lat="0" lon="0" rev="0"/>
      </a:camera>
      <a:lightRig rig="contrasting" dir="t">
        <a:rot lat="0" lon="0" rev="1200000"/>
      </a:lightRig>
    </dgm:scene3d>
    <dgm:sp3d z="-182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ibTrans2D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1D1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>
        <a:rot lat="0" lon="0" rev="0"/>
      </a:camera>
      <a:lightRig rig="contrasting" dir="t">
        <a:rot lat="0" lon="0" rev="1200000"/>
      </a:lightRig>
    </dgm:scene3d>
    <dgm:sp3d z="10000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2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3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4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1D1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>
        <a:rot lat="0" lon="0" rev="0"/>
      </a:camera>
      <a:lightRig rig="contrasting" dir="t">
        <a:rot lat="0" lon="0" rev="1200000"/>
      </a:lightRig>
    </dgm:scene3d>
    <dgm:sp3d z="-110000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Acc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2700" prstMaterial="flat">
      <a:bevelT w="177800" h="254000"/>
      <a:bevelB w="1524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>
        <a:rot lat="0" lon="0" rev="0"/>
      </a:camera>
      <a:lightRig rig="contrasting" dir="t">
        <a:rot lat="0" lon="0" rev="1200000"/>
      </a:lightRig>
    </dgm:scene3d>
    <dgm:sp3d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>
        <a:rot lat="0" lon="0" rev="0"/>
      </a:camera>
      <a:lightRig rig="contrasting" dir="t">
        <a:rot lat="0" lon="0" rev="1200000"/>
      </a:lightRig>
    </dgm:scene3d>
    <dgm:sp3d z="-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>
        <a:rot lat="0" lon="0" rev="0"/>
      </a:camera>
      <a:lightRig rig="contrasting" dir="t">
        <a:rot lat="0" lon="0" rev="1200000"/>
      </a:lightRig>
    </dgm:scene3d>
    <dgm:sp3d z="-300000" prstMaterial="plastic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>
        <a:rot lat="0" lon="0" rev="0"/>
      </a:camera>
      <a:lightRig rig="contrasting" dir="t">
        <a:rot lat="0" lon="0" rev="1200000"/>
      </a:lightRig>
    </dgm:scene3d>
    <dgm:sp3d contourW="12700" prstMaterial="flat">
      <a:bevelT w="100800" h="154000"/>
      <a:bevelB w="1524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>
        <a:rot lat="0" lon="0" rev="0"/>
      </a:camera>
      <a:lightRig rig="contrasting" dir="t">
        <a:rot lat="0" lon="0" rev="1200000"/>
      </a:lightRig>
    </dgm:scene3d>
    <dgm:sp3d z="-1524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>
        <a:rot lat="0" lon="0" rev="0"/>
      </a:camera>
      <a:lightRig rig="contrasting" dir="t">
        <a:rot lat="0" lon="0" rev="1200000"/>
      </a:lightRig>
    </dgm:scene3d>
    <dgm:sp3d z="300000" contourW="19050" prstMaterial="metal">
      <a:bevelT w="88900" h="203200"/>
      <a:bevelB w="165100" h="254000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Layout" Target="../diagrams/layout1.xml"/><Relationship Id="rId2" Type="http://schemas.openxmlformats.org/officeDocument/2006/relationships/diagramData" Target="../diagrams/data1.xml"/><Relationship Id="rId1" Type="http://schemas.openxmlformats.org/officeDocument/2006/relationships/image" Target="../media/image1.png"/><Relationship Id="rId6" Type="http://schemas.microsoft.com/office/2007/relationships/diagramDrawing" Target="../diagrams/drawing1.xml"/><Relationship Id="rId5" Type="http://schemas.openxmlformats.org/officeDocument/2006/relationships/diagramColors" Target="../diagrams/colors1.xml"/><Relationship Id="rId4" Type="http://schemas.openxmlformats.org/officeDocument/2006/relationships/diagramQuickStyle" Target="../diagrams/quickStyle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odelo de valor'!A1"/><Relationship Id="rId1" Type="http://schemas.openxmlformats.org/officeDocument/2006/relationships/image" Target="../media/image1.png"/><Relationship Id="rId4" Type="http://schemas.openxmlformats.org/officeDocument/2006/relationships/image" Target="../media/image3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svg"/><Relationship Id="rId5" Type="http://schemas.openxmlformats.org/officeDocument/2006/relationships/image" Target="../media/image2.png"/><Relationship Id="rId4" Type="http://schemas.openxmlformats.org/officeDocument/2006/relationships/hyperlink" Target="#'Modelo de valor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odelo de valor'!A1"/><Relationship Id="rId1" Type="http://schemas.openxmlformats.org/officeDocument/2006/relationships/image" Target="../media/image1.png"/><Relationship Id="rId4" Type="http://schemas.openxmlformats.org/officeDocument/2006/relationships/image" Target="../media/image3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odelo de valor'!A1"/><Relationship Id="rId1" Type="http://schemas.openxmlformats.org/officeDocument/2006/relationships/image" Target="../media/image1.png"/><Relationship Id="rId4" Type="http://schemas.openxmlformats.org/officeDocument/2006/relationships/image" Target="../media/image3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odelo de valor'!A1"/><Relationship Id="rId1" Type="http://schemas.openxmlformats.org/officeDocument/2006/relationships/image" Target="../media/image1.png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'Modelo de valor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60961</xdr:colOff>
      <xdr:row>6</xdr:row>
      <xdr:rowOff>87629</xdr:rowOff>
    </xdr:from>
    <xdr:to>
      <xdr:col>2</xdr:col>
      <xdr:colOff>238126</xdr:colOff>
      <xdr:row>11</xdr:row>
      <xdr:rowOff>133350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51536" y="1173479"/>
          <a:ext cx="967740" cy="950596"/>
        </a:xfrm>
        <a:prstGeom prst="ellipse">
          <a:avLst/>
        </a:prstGeom>
        <a:solidFill>
          <a:srgbClr val="143778"/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xdr:spPr>
      <xdr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>
              <a:solidFill>
                <a:sysClr val="window" lastClr="FFFFFF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Eficacia </a:t>
          </a:r>
        </a:p>
      </xdr:txBody>
    </xdr:sp>
    <xdr:clientData/>
  </xdr:twoCellAnchor>
  <xdr:twoCellAnchor>
    <xdr:from>
      <xdr:col>1</xdr:col>
      <xdr:colOff>30480</xdr:colOff>
      <xdr:row>12</xdr:row>
      <xdr:rowOff>57149</xdr:rowOff>
    </xdr:from>
    <xdr:to>
      <xdr:col>2</xdr:col>
      <xdr:colOff>209550</xdr:colOff>
      <xdr:row>17</xdr:row>
      <xdr:rowOff>76199</xdr:rowOff>
    </xdr:to>
    <xdr:sp macro="" textlink="">
      <xdr:nvSpPr>
        <xdr:cNvPr id="4" name="Elips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21055" y="2228849"/>
          <a:ext cx="969645" cy="923925"/>
        </a:xfrm>
        <a:prstGeom prst="ellipse">
          <a:avLst/>
        </a:prstGeom>
        <a:solidFill>
          <a:srgbClr val="4BACC6">
            <a:lumMod val="40000"/>
            <a:lumOff val="60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xdr:spPr>
      <xdr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Seguridad  </a:t>
          </a:r>
        </a:p>
      </xdr:txBody>
    </xdr:sp>
    <xdr:clientData/>
  </xdr:twoCellAnchor>
  <xdr:twoCellAnchor>
    <xdr:from>
      <xdr:col>1</xdr:col>
      <xdr:colOff>32385</xdr:colOff>
      <xdr:row>18</xdr:row>
      <xdr:rowOff>95249</xdr:rowOff>
    </xdr:from>
    <xdr:to>
      <xdr:col>2</xdr:col>
      <xdr:colOff>219075</xdr:colOff>
      <xdr:row>23</xdr:row>
      <xdr:rowOff>133349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822960" y="3352799"/>
          <a:ext cx="977265" cy="942975"/>
        </a:xfrm>
        <a:prstGeom prst="ellipse">
          <a:avLst/>
        </a:prstGeom>
        <a:solidFill>
          <a:srgbClr val="4BACC6">
            <a:lumMod val="75000"/>
          </a:srgb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xdr:spPr>
      <xdr:txBody>
        <a:bodyPr spcFirstLastPara="0" vert="horz" wrap="square" lIns="5715" tIns="5715" rIns="5715" bIns="5715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900" b="1" kern="120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PROs </a:t>
          </a:r>
        </a:p>
      </xdr:txBody>
    </xdr:sp>
    <xdr:clientData/>
  </xdr:twoCellAnchor>
  <xdr:twoCellAnchor>
    <xdr:from>
      <xdr:col>1</xdr:col>
      <xdr:colOff>78105</xdr:colOff>
      <xdr:row>24</xdr:row>
      <xdr:rowOff>171449</xdr:rowOff>
    </xdr:from>
    <xdr:to>
      <xdr:col>2</xdr:col>
      <xdr:colOff>276225</xdr:colOff>
      <xdr:row>30</xdr:row>
      <xdr:rowOff>38100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868680" y="4514849"/>
          <a:ext cx="988695" cy="952501"/>
        </a:xfrm>
        <a:prstGeom prst="ellipse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200000"/>
          </a:lightRig>
        </a:scene3d>
        <a:sp3d contourW="19050" prstMaterial="metal">
          <a:bevelT w="88900" h="203200"/>
          <a:bevelB w="165100" h="254000"/>
        </a:sp3d>
      </xdr:spPr>
      <xdr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800" b="1" kern="120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Posicionamiento</a:t>
          </a:r>
        </a:p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O" sz="800" b="1" kern="1200">
              <a:solidFill>
                <a:sysClr val="windowText" lastClr="000000"/>
              </a:solidFill>
              <a:latin typeface="Poppins" panose="00000500000000000000" pitchFamily="2" charset="0"/>
              <a:ea typeface="+mn-ea"/>
              <a:cs typeface="Poppins" panose="00000500000000000000" pitchFamily="2" charset="0"/>
            </a:rPr>
            <a:t>  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12</xdr:col>
      <xdr:colOff>579099</xdr:colOff>
      <xdr:row>2</xdr:row>
      <xdr:rowOff>66675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>
          <a:grpSpLocks noChangeAspect="1"/>
        </xdr:cNvGrpSpPr>
      </xdr:nvGrpSpPr>
      <xdr:grpSpPr>
        <a:xfrm>
          <a:off x="0" y="0"/>
          <a:ext cx="10065999" cy="495300"/>
          <a:chOff x="0" y="-124213"/>
          <a:chExt cx="33982191" cy="1761778"/>
        </a:xfrm>
      </xdr:grpSpPr>
      <xdr:sp macro="" textlink="">
        <xdr:nvSpPr>
          <xdr:cNvPr id="9" name="Freeform 4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>
            <a:spLocks noChangeAspect="1"/>
          </xdr:cNvSpPr>
        </xdr:nvSpPr>
        <xdr:spPr>
          <a:xfrm>
            <a:off x="349681" y="357269"/>
            <a:ext cx="4876732" cy="802804"/>
          </a:xfrm>
          <a:custGeom>
            <a:avLst/>
            <a:gdLst/>
            <a:ahLst/>
            <a:cxnLst/>
            <a:rect l="l" t="t" r="r" b="b"/>
            <a:pathLst>
              <a:path w="6315740" h="1028700">
                <a:moveTo>
                  <a:pt x="0" y="0"/>
                </a:moveTo>
                <a:lnTo>
                  <a:pt x="6315740" y="0"/>
                </a:lnTo>
                <a:lnTo>
                  <a:pt x="6315740" y="1028700"/>
                </a:lnTo>
                <a:lnTo>
                  <a:pt x="0" y="1028700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"/>
            <a:stretch>
              <a:fillRect/>
            </a:stretch>
          </a:blipFill>
        </xdr:spPr>
        <xdr:txBody>
          <a:bodyPr wrap="square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609630"/>
            <a:endParaRPr lang="es-CO" sz="1200">
              <a:solidFill>
                <a:prstClr val="black"/>
              </a:solidFill>
              <a:latin typeface="Calibri"/>
            </a:endParaRPr>
          </a:p>
        </xdr:txBody>
      </xdr:sp>
      <xdr:sp macro="" textlink="">
        <xdr:nvSpPr>
          <xdr:cNvPr id="10" name="TextBox 6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 txBox="1">
            <a:spLocks noChangeAspect="1"/>
          </xdr:cNvSpPr>
        </xdr:nvSpPr>
        <xdr:spPr>
          <a:xfrm>
            <a:off x="5760775" y="-124213"/>
            <a:ext cx="28221416" cy="987493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609630">
              <a:lnSpc>
                <a:spcPts val="3718"/>
              </a:lnSpc>
            </a:pPr>
            <a:r>
              <a:rPr lang="es-CO" sz="2000" spc="249" baseline="0">
                <a:solidFill>
                  <a:srgbClr val="28346D"/>
                </a:solidFill>
                <a:latin typeface="Poppins"/>
                <a:ea typeface="Poppins"/>
                <a:cs typeface="Poppins"/>
                <a:sym typeface="Poppins"/>
              </a:rPr>
              <a:t>Modelo de valor-oclusiones venosas retinianas  </a:t>
            </a:r>
          </a:p>
          <a:p>
            <a:pPr algn="ctr" defTabSz="609630">
              <a:lnSpc>
                <a:spcPts val="3718"/>
              </a:lnSpc>
            </a:pPr>
            <a:endParaRPr lang="es-CO" sz="2000" spc="249">
              <a:solidFill>
                <a:srgbClr val="28346D"/>
              </a:solidFill>
              <a:latin typeface="Poppins"/>
              <a:ea typeface="Poppins"/>
              <a:cs typeface="Poppins"/>
              <a:sym typeface="Poppins"/>
            </a:endParaRPr>
          </a:p>
        </xdr:txBody>
      </xdr:sp>
      <xdr:cxnSp macro="">
        <xdr:nvCxnSpPr>
          <xdr:cNvPr id="11" name="Conector recto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 flipV="1">
            <a:off x="0" y="1594193"/>
            <a:ext cx="32536578" cy="43372"/>
          </a:xfrm>
          <a:prstGeom prst="line">
            <a:avLst/>
          </a:prstGeom>
          <a:ln w="76200">
            <a:solidFill>
              <a:srgbClr val="D7DF3D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274320</xdr:colOff>
      <xdr:row>5</xdr:row>
      <xdr:rowOff>5715</xdr:rowOff>
    </xdr:from>
    <xdr:to>
      <xdr:col>13</xdr:col>
      <xdr:colOff>1710690</xdr:colOff>
      <xdr:row>33</xdr:row>
      <xdr:rowOff>140970</xdr:rowOff>
    </xdr:to>
    <xdr:graphicFrame macro="">
      <xdr:nvGraphicFramePr>
        <xdr:cNvPr id="12" name="Diagrama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304800</xdr:colOff>
          <xdr:row>9</xdr:row>
          <xdr:rowOff>228600</xdr:rowOff>
        </xdr:from>
        <xdr:to>
          <xdr:col>14</xdr:col>
          <xdr:colOff>640080</xdr:colOff>
          <xdr:row>11</xdr:row>
          <xdr:rowOff>15240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312420</xdr:colOff>
          <xdr:row>10</xdr:row>
          <xdr:rowOff>160020</xdr:rowOff>
        </xdr:from>
        <xdr:to>
          <xdr:col>14</xdr:col>
          <xdr:colOff>601980</xdr:colOff>
          <xdr:row>12</xdr:row>
          <xdr:rowOff>22860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136924</xdr:rowOff>
    </xdr:from>
    <xdr:to>
      <xdr:col>3</xdr:col>
      <xdr:colOff>2446020</xdr:colOff>
      <xdr:row>2</xdr:row>
      <xdr:rowOff>139065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>
          <a:grpSpLocks noChangeAspect="1"/>
        </xdr:cNvGrpSpPr>
      </xdr:nvGrpSpPr>
      <xdr:grpSpPr>
        <a:xfrm>
          <a:off x="0" y="136924"/>
          <a:ext cx="11561445" cy="364091"/>
          <a:chOff x="0" y="357269"/>
          <a:chExt cx="32536578" cy="1280296"/>
        </a:xfrm>
      </xdr:grpSpPr>
      <xdr:sp macro="" textlink="">
        <xdr:nvSpPr>
          <xdr:cNvPr id="3" name="Freeform 4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>
            <a:spLocks noChangeAspect="1"/>
          </xdr:cNvSpPr>
        </xdr:nvSpPr>
        <xdr:spPr>
          <a:xfrm>
            <a:off x="349681" y="357269"/>
            <a:ext cx="4876732" cy="802804"/>
          </a:xfrm>
          <a:custGeom>
            <a:avLst/>
            <a:gdLst/>
            <a:ahLst/>
            <a:cxnLst/>
            <a:rect l="l" t="t" r="r" b="b"/>
            <a:pathLst>
              <a:path w="6315740" h="1028700">
                <a:moveTo>
                  <a:pt x="0" y="0"/>
                </a:moveTo>
                <a:lnTo>
                  <a:pt x="6315740" y="0"/>
                </a:lnTo>
                <a:lnTo>
                  <a:pt x="6315740" y="1028700"/>
                </a:lnTo>
                <a:lnTo>
                  <a:pt x="0" y="1028700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"/>
            <a:stretch>
              <a:fillRect/>
            </a:stretch>
          </a:blipFill>
        </xdr:spPr>
        <xdr:txBody>
          <a:bodyPr wrap="square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609630"/>
            <a:endParaRPr lang="es-CO" sz="1200">
              <a:solidFill>
                <a:prstClr val="black"/>
              </a:solidFill>
              <a:latin typeface="Calibri"/>
            </a:endParaRPr>
          </a:p>
        </xdr:txBody>
      </xdr:sp>
      <xdr:cxnSp macro="">
        <xdr:nvCxnSpPr>
          <xdr:cNvPr id="5" name="Conector recto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 flipV="1">
            <a:off x="0" y="1594193"/>
            <a:ext cx="32536578" cy="43372"/>
          </a:xfrm>
          <a:prstGeom prst="line">
            <a:avLst/>
          </a:prstGeom>
          <a:ln w="76200">
            <a:solidFill>
              <a:srgbClr val="D7DF3D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4</xdr:col>
      <xdr:colOff>428625</xdr:colOff>
      <xdr:row>5</xdr:row>
      <xdr:rowOff>1228725</xdr:rowOff>
    </xdr:from>
    <xdr:to>
      <xdr:col>4</xdr:col>
      <xdr:colOff>1343025</xdr:colOff>
      <xdr:row>6</xdr:row>
      <xdr:rowOff>847725</xdr:rowOff>
    </xdr:to>
    <xdr:pic>
      <xdr:nvPicPr>
        <xdr:cNvPr id="8" name="Gráfico 7" descr="Hogar con relleno sóli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458700" y="3314700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561975</xdr:colOff>
      <xdr:row>0</xdr:row>
      <xdr:rowOff>0</xdr:rowOff>
    </xdr:from>
    <xdr:to>
      <xdr:col>3</xdr:col>
      <xdr:colOff>2720777</xdr:colOff>
      <xdr:row>1</xdr:row>
      <xdr:rowOff>96645</xdr:rowOff>
    </xdr:to>
    <xdr:sp macro="" textlink="">
      <xdr:nvSpPr>
        <xdr:cNvPr id="9" name="TextBox 6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>
          <a:spLocks noChangeAspect="1"/>
        </xdr:cNvSpPr>
      </xdr:nvSpPr>
      <xdr:spPr>
        <a:xfrm>
          <a:off x="3476625" y="0"/>
          <a:ext cx="8359577" cy="277620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defTabSz="609630">
            <a:lnSpc>
              <a:spcPts val="3718"/>
            </a:lnSpc>
          </a:pPr>
          <a:r>
            <a:rPr lang="es-CO" sz="2000" spc="249" baseline="0">
              <a:solidFill>
                <a:srgbClr val="28346D"/>
              </a:solidFill>
              <a:latin typeface="Poppins"/>
              <a:ea typeface="Poppins"/>
              <a:cs typeface="Poppins"/>
              <a:sym typeface="Poppins"/>
            </a:rPr>
            <a:t>Modelo de valor-oclusiones venosas retinianas  </a:t>
          </a:r>
        </a:p>
        <a:p>
          <a:pPr algn="ctr" defTabSz="609630">
            <a:lnSpc>
              <a:spcPts val="3718"/>
            </a:lnSpc>
          </a:pPr>
          <a:endParaRPr lang="es-CO" sz="2000" spc="249">
            <a:solidFill>
              <a:srgbClr val="28346D"/>
            </a:solidFill>
            <a:latin typeface="Poppins"/>
            <a:ea typeface="Poppins"/>
            <a:cs typeface="Poppins"/>
            <a:sym typeface="Poppin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2457450</xdr:colOff>
      <xdr:row>37</xdr:row>
      <xdr:rowOff>3810</xdr:rowOff>
    </xdr:from>
    <xdr:to>
      <xdr:col>2</xdr:col>
      <xdr:colOff>939800</xdr:colOff>
      <xdr:row>50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2035628</xdr:colOff>
      <xdr:row>33</xdr:row>
      <xdr:rowOff>141513</xdr:rowOff>
    </xdr:from>
    <xdr:to>
      <xdr:col>11</xdr:col>
      <xdr:colOff>185057</xdr:colOff>
      <xdr:row>51</xdr:row>
      <xdr:rowOff>10884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152400</xdr:colOff>
      <xdr:row>3</xdr:row>
      <xdr:rowOff>11118</xdr:rowOff>
    </xdr:from>
    <xdr:to>
      <xdr:col>10</xdr:col>
      <xdr:colOff>1165332</xdr:colOff>
      <xdr:row>7</xdr:row>
      <xdr:rowOff>96520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>
          <a:grpSpLocks noChangeAspect="1"/>
        </xdr:cNvGrpSpPr>
      </xdr:nvGrpSpPr>
      <xdr:grpSpPr>
        <a:xfrm>
          <a:off x="152400" y="559758"/>
          <a:ext cx="21465012" cy="816922"/>
          <a:chOff x="0" y="357269"/>
          <a:chExt cx="32536578" cy="1280296"/>
        </a:xfrm>
      </xdr:grpSpPr>
      <xdr:sp macro="" textlink="">
        <xdr:nvSpPr>
          <xdr:cNvPr id="7" name="Freeform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Aspect="1"/>
          </xdr:cNvSpPr>
        </xdr:nvSpPr>
        <xdr:spPr>
          <a:xfrm>
            <a:off x="349681" y="357269"/>
            <a:ext cx="4876732" cy="802804"/>
          </a:xfrm>
          <a:custGeom>
            <a:avLst/>
            <a:gdLst/>
            <a:ahLst/>
            <a:cxnLst/>
            <a:rect l="l" t="t" r="r" b="b"/>
            <a:pathLst>
              <a:path w="6315740" h="1028700">
                <a:moveTo>
                  <a:pt x="0" y="0"/>
                </a:moveTo>
                <a:lnTo>
                  <a:pt x="6315740" y="0"/>
                </a:lnTo>
                <a:lnTo>
                  <a:pt x="6315740" y="1028700"/>
                </a:lnTo>
                <a:lnTo>
                  <a:pt x="0" y="1028700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3"/>
            <a:stretch>
              <a:fillRect/>
            </a:stretch>
          </a:blipFill>
        </xdr:spPr>
        <xdr:txBody>
          <a:bodyPr wrap="square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609630"/>
            <a:endParaRPr lang="es-CO" sz="1200">
              <a:solidFill>
                <a:prstClr val="black"/>
              </a:solidFill>
              <a:latin typeface="Calibri"/>
            </a:endParaRPr>
          </a:p>
        </xdr:txBody>
      </xdr:sp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CxnSpPr/>
        </xdr:nvCxnSpPr>
        <xdr:spPr>
          <a:xfrm flipV="1">
            <a:off x="0" y="1594193"/>
            <a:ext cx="32536578" cy="43372"/>
          </a:xfrm>
          <a:prstGeom prst="line">
            <a:avLst/>
          </a:prstGeom>
          <a:ln w="76200">
            <a:solidFill>
              <a:srgbClr val="D7DF3D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6</xdr:col>
      <xdr:colOff>868680</xdr:colOff>
      <xdr:row>8</xdr:row>
      <xdr:rowOff>45720</xdr:rowOff>
    </xdr:from>
    <xdr:to>
      <xdr:col>7</xdr:col>
      <xdr:colOff>289560</xdr:colOff>
      <xdr:row>12</xdr:row>
      <xdr:rowOff>0</xdr:rowOff>
    </xdr:to>
    <xdr:pic>
      <xdr:nvPicPr>
        <xdr:cNvPr id="9" name="Gráfico 8" descr="Hogar con rellen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621000" y="1508760"/>
          <a:ext cx="1097280" cy="1097280"/>
        </a:xfrm>
        <a:prstGeom prst="rect">
          <a:avLst/>
        </a:prstGeom>
      </xdr:spPr>
    </xdr:pic>
    <xdr:clientData/>
  </xdr:twoCellAnchor>
  <xdr:twoCellAnchor>
    <xdr:from>
      <xdr:col>3</xdr:col>
      <xdr:colOff>868680</xdr:colOff>
      <xdr:row>1</xdr:row>
      <xdr:rowOff>163518</xdr:rowOff>
    </xdr:from>
    <xdr:to>
      <xdr:col>9</xdr:col>
      <xdr:colOff>1213155</xdr:colOff>
      <xdr:row>4</xdr:row>
      <xdr:rowOff>91440</xdr:rowOff>
    </xdr:to>
    <xdr:sp macro="" textlink="">
      <xdr:nvSpPr>
        <xdr:cNvPr id="11" name="TextBox 6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>
          <a:spLocks noChangeAspect="1"/>
        </xdr:cNvSpPr>
      </xdr:nvSpPr>
      <xdr:spPr>
        <a:xfrm>
          <a:off x="5974080" y="346398"/>
          <a:ext cx="14350035" cy="476562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defTabSz="609630">
            <a:lnSpc>
              <a:spcPts val="3718"/>
            </a:lnSpc>
          </a:pPr>
          <a:r>
            <a:rPr lang="es-CO" sz="2400" spc="249" baseline="0">
              <a:solidFill>
                <a:srgbClr val="28346D"/>
              </a:solidFill>
              <a:latin typeface="Poppins"/>
              <a:ea typeface="Poppins"/>
              <a:cs typeface="Poppins"/>
              <a:sym typeface="Poppins"/>
            </a:rPr>
            <a:t>Modelo de valor-oclusiones venosas retinianas  </a:t>
          </a:r>
        </a:p>
        <a:p>
          <a:pPr algn="ctr" defTabSz="609630">
            <a:lnSpc>
              <a:spcPts val="3718"/>
            </a:lnSpc>
          </a:pPr>
          <a:endParaRPr lang="es-CO" sz="2400" spc="249">
            <a:solidFill>
              <a:srgbClr val="28346D"/>
            </a:solidFill>
            <a:latin typeface="Poppins"/>
            <a:ea typeface="Poppins"/>
            <a:cs typeface="Poppins"/>
            <a:sym typeface="Poppin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</xdr:colOff>
      <xdr:row>1</xdr:row>
      <xdr:rowOff>124820</xdr:rowOff>
    </xdr:from>
    <xdr:to>
      <xdr:col>16</xdr:col>
      <xdr:colOff>177800</xdr:colOff>
      <xdr:row>5</xdr:row>
      <xdr:rowOff>139701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>
          <a:grpSpLocks noChangeAspect="1"/>
        </xdr:cNvGrpSpPr>
      </xdr:nvGrpSpPr>
      <xdr:grpSpPr>
        <a:xfrm>
          <a:off x="28575" y="302620"/>
          <a:ext cx="12239625" cy="726081"/>
          <a:chOff x="0" y="357269"/>
          <a:chExt cx="32536578" cy="1280296"/>
        </a:xfrm>
      </xdr:grpSpPr>
      <xdr:sp macro="" textlink="">
        <xdr:nvSpPr>
          <xdr:cNvPr id="3" name="Freeform 4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>
            <a:spLocks noChangeAspect="1"/>
          </xdr:cNvSpPr>
        </xdr:nvSpPr>
        <xdr:spPr>
          <a:xfrm>
            <a:off x="349681" y="357269"/>
            <a:ext cx="4876732" cy="802804"/>
          </a:xfrm>
          <a:custGeom>
            <a:avLst/>
            <a:gdLst/>
            <a:ahLst/>
            <a:cxnLst/>
            <a:rect l="l" t="t" r="r" b="b"/>
            <a:pathLst>
              <a:path w="6315740" h="1028700">
                <a:moveTo>
                  <a:pt x="0" y="0"/>
                </a:moveTo>
                <a:lnTo>
                  <a:pt x="6315740" y="0"/>
                </a:lnTo>
                <a:lnTo>
                  <a:pt x="6315740" y="1028700"/>
                </a:lnTo>
                <a:lnTo>
                  <a:pt x="0" y="1028700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"/>
            <a:stretch>
              <a:fillRect/>
            </a:stretch>
          </a:blipFill>
        </xdr:spPr>
        <xdr:txBody>
          <a:bodyPr wrap="square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609630"/>
            <a:endParaRPr lang="es-CO" sz="1200">
              <a:solidFill>
                <a:prstClr val="black"/>
              </a:solidFill>
              <a:latin typeface="Calibri"/>
            </a:endParaRPr>
          </a:p>
        </xdr:txBody>
      </xdr:sp>
      <xdr:cxnSp macro="">
        <xdr:nvCxnSpPr>
          <xdr:cNvPr id="5" name="Conector recto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 flipV="1">
            <a:off x="0" y="1594193"/>
            <a:ext cx="32536578" cy="43372"/>
          </a:xfrm>
          <a:prstGeom prst="line">
            <a:avLst/>
          </a:prstGeom>
          <a:ln w="76200">
            <a:solidFill>
              <a:srgbClr val="D7DF3D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14</xdr:col>
      <xdr:colOff>596900</xdr:colOff>
      <xdr:row>0</xdr:row>
      <xdr:rowOff>38100</xdr:rowOff>
    </xdr:from>
    <xdr:to>
      <xdr:col>18</xdr:col>
      <xdr:colOff>12700</xdr:colOff>
      <xdr:row>5</xdr:row>
      <xdr:rowOff>63500</xdr:rowOff>
    </xdr:to>
    <xdr:pic>
      <xdr:nvPicPr>
        <xdr:cNvPr id="6" name="Gráfico 5" descr="Hogar con relleno sóli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938000" y="38100"/>
          <a:ext cx="914400" cy="914400"/>
        </a:xfrm>
        <a:prstGeom prst="rect">
          <a:avLst/>
        </a:prstGeom>
      </xdr:spPr>
    </xdr:pic>
    <xdr:clientData/>
  </xdr:twoCellAnchor>
  <xdr:twoCellAnchor>
    <xdr:from>
      <xdr:col>0</xdr:col>
      <xdr:colOff>1638301</xdr:colOff>
      <xdr:row>1</xdr:row>
      <xdr:rowOff>127000</xdr:rowOff>
    </xdr:from>
    <xdr:to>
      <xdr:col>16</xdr:col>
      <xdr:colOff>254001</xdr:colOff>
      <xdr:row>3</xdr:row>
      <xdr:rowOff>126948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>
          <a:spLocks noChangeAspect="1"/>
        </xdr:cNvSpPr>
      </xdr:nvSpPr>
      <xdr:spPr>
        <a:xfrm>
          <a:off x="1638301" y="304800"/>
          <a:ext cx="10706100" cy="35554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defTabSz="609630">
            <a:lnSpc>
              <a:spcPts val="3718"/>
            </a:lnSpc>
          </a:pPr>
          <a:r>
            <a:rPr lang="es-CO" sz="2400" spc="249" baseline="0">
              <a:solidFill>
                <a:srgbClr val="28346D"/>
              </a:solidFill>
              <a:latin typeface="Poppins"/>
              <a:ea typeface="Poppins"/>
              <a:cs typeface="Poppins"/>
              <a:sym typeface="Poppins"/>
            </a:rPr>
            <a:t>Modelo de valor-oclusiones venosas retinianas  </a:t>
          </a:r>
        </a:p>
        <a:p>
          <a:pPr algn="ctr" defTabSz="609630">
            <a:lnSpc>
              <a:spcPts val="3718"/>
            </a:lnSpc>
          </a:pPr>
          <a:endParaRPr lang="es-CO" sz="2400" spc="249">
            <a:solidFill>
              <a:srgbClr val="28346D"/>
            </a:solidFill>
            <a:latin typeface="Poppins"/>
            <a:ea typeface="Poppins"/>
            <a:cs typeface="Poppins"/>
            <a:sym typeface="Poppin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</xdr:colOff>
          <xdr:row>40</xdr:row>
          <xdr:rowOff>152400</xdr:rowOff>
        </xdr:from>
        <xdr:to>
          <xdr:col>0</xdr:col>
          <xdr:colOff>2758440</xdr:colOff>
          <xdr:row>43</xdr:row>
          <xdr:rowOff>60960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O" sz="18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20217</xdr:rowOff>
    </xdr:from>
    <xdr:to>
      <xdr:col>15</xdr:col>
      <xdr:colOff>54429</xdr:colOff>
      <xdr:row>4</xdr:row>
      <xdr:rowOff>10884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>
          <a:grpSpLocks noChangeAspect="1"/>
        </xdr:cNvGrpSpPr>
      </xdr:nvGrpSpPr>
      <xdr:grpSpPr>
        <a:xfrm>
          <a:off x="0" y="205274"/>
          <a:ext cx="17809029" cy="545839"/>
          <a:chOff x="0" y="357269"/>
          <a:chExt cx="32536578" cy="1280296"/>
        </a:xfrm>
      </xdr:grpSpPr>
      <xdr:sp macro="" textlink="">
        <xdr:nvSpPr>
          <xdr:cNvPr id="3" name="Freeform 4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>
            <a:spLocks noChangeAspect="1"/>
          </xdr:cNvSpPr>
        </xdr:nvSpPr>
        <xdr:spPr>
          <a:xfrm>
            <a:off x="349681" y="357269"/>
            <a:ext cx="4876732" cy="802804"/>
          </a:xfrm>
          <a:custGeom>
            <a:avLst/>
            <a:gdLst/>
            <a:ahLst/>
            <a:cxnLst/>
            <a:rect l="l" t="t" r="r" b="b"/>
            <a:pathLst>
              <a:path w="6315740" h="1028700">
                <a:moveTo>
                  <a:pt x="0" y="0"/>
                </a:moveTo>
                <a:lnTo>
                  <a:pt x="6315740" y="0"/>
                </a:lnTo>
                <a:lnTo>
                  <a:pt x="6315740" y="1028700"/>
                </a:lnTo>
                <a:lnTo>
                  <a:pt x="0" y="1028700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"/>
            <a:stretch>
              <a:fillRect/>
            </a:stretch>
          </a:blipFill>
        </xdr:spPr>
        <xdr:txBody>
          <a:bodyPr wrap="square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609630"/>
            <a:endParaRPr lang="es-CO" sz="1200">
              <a:solidFill>
                <a:prstClr val="black"/>
              </a:solidFill>
              <a:latin typeface="Calibri"/>
            </a:endParaRPr>
          </a:p>
        </xdr:txBody>
      </xdr:sp>
      <xdr:cxnSp macro="">
        <xdr:nvCxnSpPr>
          <xdr:cNvPr id="5" name="Conector recto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 flipV="1">
            <a:off x="0" y="1594193"/>
            <a:ext cx="32536578" cy="43372"/>
          </a:xfrm>
          <a:prstGeom prst="line">
            <a:avLst/>
          </a:prstGeom>
          <a:ln w="76200">
            <a:solidFill>
              <a:srgbClr val="D7DF3D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4</xdr:col>
      <xdr:colOff>381000</xdr:colOff>
      <xdr:row>0</xdr:row>
      <xdr:rowOff>0</xdr:rowOff>
    </xdr:from>
    <xdr:to>
      <xdr:col>4</xdr:col>
      <xdr:colOff>1186543</xdr:colOff>
      <xdr:row>4</xdr:row>
      <xdr:rowOff>65314</xdr:rowOff>
    </xdr:to>
    <xdr:pic>
      <xdr:nvPicPr>
        <xdr:cNvPr id="6" name="Gráfico 5" descr="Hogar con relleno sóli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65914" y="0"/>
          <a:ext cx="805543" cy="805543"/>
        </a:xfrm>
        <a:prstGeom prst="rect">
          <a:avLst/>
        </a:prstGeom>
      </xdr:spPr>
    </xdr:pic>
    <xdr:clientData/>
  </xdr:twoCellAnchor>
  <xdr:twoCellAnchor>
    <xdr:from>
      <xdr:col>3</xdr:col>
      <xdr:colOff>576943</xdr:colOff>
      <xdr:row>1</xdr:row>
      <xdr:rowOff>63760</xdr:rowOff>
    </xdr:from>
    <xdr:to>
      <xdr:col>16</xdr:col>
      <xdr:colOff>67978</xdr:colOff>
      <xdr:row>3</xdr:row>
      <xdr:rowOff>170208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>
          <a:spLocks noChangeAspect="1"/>
        </xdr:cNvSpPr>
      </xdr:nvSpPr>
      <xdr:spPr>
        <a:xfrm>
          <a:off x="4267200" y="248817"/>
          <a:ext cx="14350035" cy="476562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defTabSz="609630">
            <a:lnSpc>
              <a:spcPts val="3718"/>
            </a:lnSpc>
          </a:pPr>
          <a:r>
            <a:rPr lang="es-CO" sz="2400" spc="249" baseline="0">
              <a:solidFill>
                <a:srgbClr val="28346D"/>
              </a:solidFill>
              <a:latin typeface="Poppins"/>
              <a:ea typeface="Poppins"/>
              <a:cs typeface="Poppins"/>
              <a:sym typeface="Poppins"/>
            </a:rPr>
            <a:t>Modelo de valor-oclusiones venosas retinianas  </a:t>
          </a:r>
        </a:p>
        <a:p>
          <a:pPr algn="ctr" defTabSz="609630">
            <a:lnSpc>
              <a:spcPts val="3718"/>
            </a:lnSpc>
          </a:pPr>
          <a:endParaRPr lang="es-CO" sz="2400" spc="249">
            <a:solidFill>
              <a:srgbClr val="28346D"/>
            </a:solidFill>
            <a:latin typeface="Poppins"/>
            <a:ea typeface="Poppins"/>
            <a:cs typeface="Poppins"/>
            <a:sym typeface="Poppin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24299</xdr:rowOff>
    </xdr:from>
    <xdr:to>
      <xdr:col>9</xdr:col>
      <xdr:colOff>397329</xdr:colOff>
      <xdr:row>4</xdr:row>
      <xdr:rowOff>27213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>
          <a:grpSpLocks noChangeAspect="1"/>
        </xdr:cNvGrpSpPr>
      </xdr:nvGrpSpPr>
      <xdr:grpSpPr>
        <a:xfrm>
          <a:off x="0" y="205274"/>
          <a:ext cx="17809029" cy="545839"/>
          <a:chOff x="0" y="357269"/>
          <a:chExt cx="32536578" cy="1280296"/>
        </a:xfrm>
      </xdr:grpSpPr>
      <xdr:sp macro="" textlink="">
        <xdr:nvSpPr>
          <xdr:cNvPr id="3" name="Freeform 4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>
            <a:spLocks noChangeAspect="1"/>
          </xdr:cNvSpPr>
        </xdr:nvSpPr>
        <xdr:spPr>
          <a:xfrm>
            <a:off x="349681" y="357269"/>
            <a:ext cx="4876732" cy="802804"/>
          </a:xfrm>
          <a:custGeom>
            <a:avLst/>
            <a:gdLst/>
            <a:ahLst/>
            <a:cxnLst/>
            <a:rect l="l" t="t" r="r" b="b"/>
            <a:pathLst>
              <a:path w="6315740" h="1028700">
                <a:moveTo>
                  <a:pt x="0" y="0"/>
                </a:moveTo>
                <a:lnTo>
                  <a:pt x="6315740" y="0"/>
                </a:lnTo>
                <a:lnTo>
                  <a:pt x="6315740" y="1028700"/>
                </a:lnTo>
                <a:lnTo>
                  <a:pt x="0" y="1028700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"/>
            <a:stretch>
              <a:fillRect/>
            </a:stretch>
          </a:blipFill>
        </xdr:spPr>
        <xdr:txBody>
          <a:bodyPr wrap="square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609630"/>
            <a:endParaRPr lang="es-CO" sz="1200">
              <a:solidFill>
                <a:prstClr val="black"/>
              </a:solidFill>
              <a:latin typeface="Calibri"/>
            </a:endParaRPr>
          </a:p>
        </xdr:txBody>
      </xdr:sp>
      <xdr:cxnSp macro="">
        <xdr:nvCxnSpPr>
          <xdr:cNvPr id="5" name="Conector recto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 flipV="1">
            <a:off x="0" y="1594193"/>
            <a:ext cx="32536578" cy="43372"/>
          </a:xfrm>
          <a:prstGeom prst="line">
            <a:avLst/>
          </a:prstGeom>
          <a:ln w="76200">
            <a:solidFill>
              <a:srgbClr val="D7DF3D"/>
            </a:solidFill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1838325</xdr:colOff>
      <xdr:row>0</xdr:row>
      <xdr:rowOff>19050</xdr:rowOff>
    </xdr:from>
    <xdr:to>
      <xdr:col>2</xdr:col>
      <xdr:colOff>2562225</xdr:colOff>
      <xdr:row>4</xdr:row>
      <xdr:rowOff>19050</xdr:rowOff>
    </xdr:to>
    <xdr:pic>
      <xdr:nvPicPr>
        <xdr:cNvPr id="6" name="Gráfico 5" descr="Hogar con relleno sóli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19475" y="19050"/>
          <a:ext cx="723900" cy="723900"/>
        </a:xfrm>
        <a:prstGeom prst="rect">
          <a:avLst/>
        </a:prstGeom>
      </xdr:spPr>
    </xdr:pic>
    <xdr:clientData/>
  </xdr:twoCellAnchor>
  <xdr:twoCellAnchor>
    <xdr:from>
      <xdr:col>2</xdr:col>
      <xdr:colOff>161925</xdr:colOff>
      <xdr:row>0</xdr:row>
      <xdr:rowOff>90974</xdr:rowOff>
    </xdr:from>
    <xdr:to>
      <xdr:col>7</xdr:col>
      <xdr:colOff>2529510</xdr:colOff>
      <xdr:row>3</xdr:row>
      <xdr:rowOff>24611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>
          <a:spLocks noChangeAspect="1"/>
        </xdr:cNvSpPr>
      </xdr:nvSpPr>
      <xdr:spPr>
        <a:xfrm>
          <a:off x="1743075" y="90974"/>
          <a:ext cx="14350035" cy="476562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defTabSz="609630">
            <a:lnSpc>
              <a:spcPts val="3718"/>
            </a:lnSpc>
          </a:pPr>
          <a:r>
            <a:rPr lang="es-CO" sz="2400" spc="249" baseline="0">
              <a:solidFill>
                <a:srgbClr val="28346D"/>
              </a:solidFill>
              <a:latin typeface="Poppins"/>
              <a:ea typeface="Poppins"/>
              <a:cs typeface="Poppins"/>
              <a:sym typeface="Poppins"/>
            </a:rPr>
            <a:t>Modelo de valor-oclusiones venosas retinianas  </a:t>
          </a:r>
        </a:p>
        <a:p>
          <a:pPr algn="ctr" defTabSz="609630">
            <a:lnSpc>
              <a:spcPts val="3718"/>
            </a:lnSpc>
          </a:pPr>
          <a:endParaRPr lang="es-CO" sz="2400" spc="249">
            <a:solidFill>
              <a:srgbClr val="28346D"/>
            </a:solidFill>
            <a:latin typeface="Poppins"/>
            <a:ea typeface="Poppins"/>
            <a:cs typeface="Poppins"/>
            <a:sym typeface="Poppin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3</xdr:row>
      <xdr:rowOff>114300</xdr:rowOff>
    </xdr:from>
    <xdr:to>
      <xdr:col>3</xdr:col>
      <xdr:colOff>1257300</xdr:colOff>
      <xdr:row>6</xdr:row>
      <xdr:rowOff>175260</xdr:rowOff>
    </xdr:to>
    <xdr:pic>
      <xdr:nvPicPr>
        <xdr:cNvPr id="2" name="Gráfico 1" descr="Hogar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882640" y="662940"/>
          <a:ext cx="762000" cy="762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IR%20SOTO/Desktop/Poryectame/Ranibizumab/Versiones%20finales/Ultimos/17062026MV_naMD_V4_VF_170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IR%20SOTO/Desktop/Poryectame/Ranibizumab/17062026MV_naMD_V4_VF_1706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IR%20SOTO/Downloads/12062026MV_naMD_V3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IR%20SOTO/Downloads/17062026MV_EMD_Va_VF_17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Listas"/>
      <sheetName val="Modelo de valor"/>
      <sheetName val="Definiciones "/>
      <sheetName val="Parametros"/>
      <sheetName val="MCDA Advanced Dashboard"/>
      <sheetName val="Resumen"/>
      <sheetName val="Input_costo2"/>
      <sheetName val="Inputs_nAMD "/>
      <sheetName val="Referencias"/>
      <sheetName val="T_results"/>
      <sheetName val="Matriz_Medicamentos"/>
      <sheetName val="Matriz_Resultados_Crudos"/>
      <sheetName val="Equivalencia"/>
      <sheetName val="ChartData"/>
    </sheetNames>
    <sheetDataSet>
      <sheetData sheetId="0">
        <row r="1">
          <cell r="A1" t="str">
            <v>Aflibercept 2mg T&amp;E</v>
          </cell>
        </row>
        <row r="2">
          <cell r="A2" t="str">
            <v>Ranibizumab  0.5 mg  T&amp;E</v>
          </cell>
        </row>
        <row r="3">
          <cell r="A3" t="str">
            <v>Aflibercept 2mg (q4)</v>
          </cell>
        </row>
        <row r="4">
          <cell r="A4" t="str">
            <v>Aflibercept 2mg (q8)</v>
          </cell>
        </row>
        <row r="5">
          <cell r="A5" t="str">
            <v>Ranibizumab  0.5 mg  (q4)</v>
          </cell>
        </row>
        <row r="6">
          <cell r="A6" t="str">
            <v>Aflibercept 8mg (q16)</v>
          </cell>
        </row>
        <row r="7">
          <cell r="A7" t="str">
            <v>Aflibercept 8mg (q12)</v>
          </cell>
        </row>
        <row r="8">
          <cell r="A8" t="str">
            <v>Faricimab 6mg (q16)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4">
          <cell r="E4" t="str">
            <v>Aflibercept 2 mg T&amp;E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Listas"/>
      <sheetName val="Modelo de valor"/>
      <sheetName val="Definiciones "/>
      <sheetName val="Parametros"/>
      <sheetName val="MCDA Advanced Dashboard"/>
      <sheetName val="Resumen"/>
      <sheetName val="Inputs_nAMD "/>
      <sheetName val="Input_costo2"/>
      <sheetName val="T_results"/>
      <sheetName val="Matriz_Medicamentos"/>
      <sheetName val="Matriz_Resultados_Crudos"/>
      <sheetName val="Equivalencia"/>
      <sheetName val="ChartData"/>
    </sheetNames>
    <sheetDataSet>
      <sheetData sheetId="0">
        <row r="1">
          <cell r="A1" t="str">
            <v>Aflibercept 2mg T&amp;E</v>
          </cell>
        </row>
        <row r="2">
          <cell r="A2" t="str">
            <v>Ranibizumab  0.5 mg  T&amp;E</v>
          </cell>
        </row>
        <row r="3">
          <cell r="A3" t="str">
            <v>Aflibercept 2mg (q4)</v>
          </cell>
        </row>
        <row r="4">
          <cell r="A4" t="str">
            <v>Aflibercept 2mg (q8)</v>
          </cell>
        </row>
        <row r="5">
          <cell r="A5" t="str">
            <v>Ranibizumab  0.5 mg  (q4)</v>
          </cell>
        </row>
        <row r="6">
          <cell r="A6" t="str">
            <v>Aflibercept 8mg (q16)</v>
          </cell>
        </row>
        <row r="7">
          <cell r="A7" t="str">
            <v>Aflibercept 8mg (q12)</v>
          </cell>
        </row>
        <row r="8">
          <cell r="A8" t="str">
            <v>Faricimab 6mg (q16)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>
        <row r="1">
          <cell r="A1" t="str">
            <v>Criterio</v>
          </cell>
        </row>
        <row r="2">
          <cell r="A2" t="str">
            <v>Cambio medio en la agudeza visual corregida (BCVA)</v>
          </cell>
        </row>
        <row r="3">
          <cell r="A3" t="str">
            <v>Pacientes con ganancia ≥15 letras en BCVA</v>
          </cell>
        </row>
        <row r="4">
          <cell r="A4" t="str">
            <v xml:space="preserve">Desprendimiento de retina </v>
          </cell>
        </row>
        <row r="5">
          <cell r="A5" t="str">
            <v>Infarto agudo de miocardio</v>
          </cell>
        </row>
        <row r="6">
          <cell r="A6" t="str">
            <v>Endoftalmitis</v>
          </cell>
        </row>
        <row r="7">
          <cell r="A7" t="str">
            <v>Supresión sistémica de VEGF</v>
          </cell>
        </row>
        <row r="8">
          <cell r="A8" t="str">
            <v>Calidad de vida relacionada con la salud</v>
          </cell>
        </row>
        <row r="9">
          <cell r="A9" t="str">
            <v>Discapacidad / capacidad funcional</v>
          </cell>
        </row>
        <row r="10">
          <cell r="A10" t="str">
            <v>Estado de aprobación regulatoria</v>
          </cell>
        </row>
        <row r="11">
          <cell r="A11" t="str">
            <v>Inclusión en guías de práctica clínica</v>
          </cell>
        </row>
      </sheetData>
      <sheetData sheetId="10" refreshError="1"/>
      <sheetData sheetId="11">
        <row r="4">
          <cell r="E4" t="e">
            <v>#VALUE!</v>
          </cell>
        </row>
      </sheetData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o de valor "/>
      <sheetName val="Parametros"/>
      <sheetName val="MCDA Advanced Dashboard"/>
      <sheetName val="Inputs_nAMD "/>
      <sheetName val="Input_costo2"/>
      <sheetName val="Matriz_Medicamentos"/>
      <sheetName val="Matriz_Resultados_Crudos"/>
      <sheetName val="Equivalencia"/>
      <sheetName val="Chart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4">
          <cell r="E4" t="str">
            <v xml:space="preserve">Faricimab 6 mg  q16w </v>
          </cell>
        </row>
      </sheetData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Listas"/>
      <sheetName val="Modelo de valor"/>
      <sheetName val="Definiciones "/>
      <sheetName val="MCDA Advanced Dashboard"/>
      <sheetName val="Resumen"/>
      <sheetName val="Input_costo2"/>
      <sheetName val="T_results"/>
      <sheetName val="Matriz_Medicamentos"/>
      <sheetName val="Parametros "/>
      <sheetName val="Inputs_EMD "/>
      <sheetName val="Matriz_Resultados_Crudos"/>
      <sheetName val="ChartData"/>
      <sheetName val="Referencias"/>
    </sheetNames>
    <sheetDataSet>
      <sheetData sheetId="0">
        <row r="1">
          <cell r="A1" t="str">
            <v>LP- FAR 6 mg IVT T&amp;E</v>
          </cell>
        </row>
        <row r="2">
          <cell r="A2" t="str">
            <v>LP- FAR 6 mg IVT Q8W</v>
          </cell>
        </row>
        <row r="3">
          <cell r="A3" t="str">
            <v>LP -RAN 0.5 mg IVT T&amp;E</v>
          </cell>
        </row>
        <row r="4">
          <cell r="A4" t="str">
            <v>LP- RAN 0.5 mg IVT PRN</v>
          </cell>
        </row>
        <row r="5">
          <cell r="A5" t="str">
            <v xml:space="preserve"> Aflibercept 8 mg  (q12)</v>
          </cell>
        </row>
        <row r="6">
          <cell r="A6" t="str">
            <v>Aflibercept 8 mg  (q16)</v>
          </cell>
        </row>
        <row r="7">
          <cell r="A7" t="str">
            <v>AFL 2.0 mg IVT PRN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BB2D9-EED9-4239-B08A-ECD6C28686B8}">
  <sheetPr codeName="Hoja12"/>
  <dimension ref="A1:A2"/>
  <sheetViews>
    <sheetView workbookViewId="0"/>
  </sheetViews>
  <sheetFormatPr baseColWidth="10" defaultRowHeight="14.4"/>
  <sheetData>
    <row r="1" spans="1:1">
      <c r="A1" t="s">
        <v>86</v>
      </c>
    </row>
    <row r="2" spans="1:1">
      <c r="A2" t="s">
        <v>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D4F4A-4F40-4EB2-9482-1B2E46ECB309}">
  <sheetPr codeName="Hoja1"/>
  <dimension ref="N2:Q15"/>
  <sheetViews>
    <sheetView tabSelected="1" topLeftCell="A4" zoomScale="80" zoomScaleNormal="80" workbookViewId="0">
      <selection activeCell="S22" sqref="S22"/>
    </sheetView>
  </sheetViews>
  <sheetFormatPr baseColWidth="10" defaultRowHeight="14.4"/>
  <cols>
    <col min="1" max="13" width="11.5546875" style="4"/>
    <col min="14" max="14" width="29.44140625" style="4" customWidth="1"/>
    <col min="15" max="15" width="11.5546875" style="4"/>
    <col min="16" max="17" width="0" style="4" hidden="1" customWidth="1"/>
    <col min="18" max="16384" width="11.5546875" style="4"/>
  </cols>
  <sheetData>
    <row r="2" spans="14:17" ht="19.8">
      <c r="N2" s="35" t="s">
        <v>103</v>
      </c>
    </row>
    <row r="3" spans="14:17" ht="19.8">
      <c r="N3" s="35" t="s">
        <v>104</v>
      </c>
    </row>
    <row r="4" spans="14:17" ht="19.8">
      <c r="N4" s="35" t="s">
        <v>92</v>
      </c>
    </row>
    <row r="5" spans="14:17" ht="19.8">
      <c r="N5" s="35" t="s">
        <v>105</v>
      </c>
    </row>
    <row r="6" spans="14:17" ht="19.8">
      <c r="N6" s="35" t="s">
        <v>106</v>
      </c>
    </row>
    <row r="7" spans="14:17" ht="19.8">
      <c r="N7" s="35" t="s">
        <v>107</v>
      </c>
    </row>
    <row r="10" spans="14:17" ht="20.399999999999999">
      <c r="N10" s="67" t="s">
        <v>89</v>
      </c>
      <c r="O10" s="68"/>
    </row>
    <row r="11" spans="14:17">
      <c r="N11" s="4" t="s">
        <v>86</v>
      </c>
      <c r="P11" s="4" t="b">
        <v>1</v>
      </c>
      <c r="Q11" s="4" t="s">
        <v>90</v>
      </c>
    </row>
    <row r="12" spans="14:17">
      <c r="N12" s="4" t="s">
        <v>82</v>
      </c>
      <c r="P12" s="4" t="b">
        <v>1</v>
      </c>
      <c r="Q12" s="4" t="s">
        <v>91</v>
      </c>
    </row>
    <row r="15" spans="14:17" ht="20.399999999999999">
      <c r="N15" s="35" t="s">
        <v>108</v>
      </c>
      <c r="O15" s="65">
        <v>0</v>
      </c>
    </row>
  </sheetData>
  <mergeCells count="1">
    <mergeCell ref="N10:O10"/>
  </mergeCells>
  <hyperlinks>
    <hyperlink ref="N2" location="'MCDA Advanced Dashboard'!A1" display="Detallado " xr:uid="{94D21898-1BA4-4E51-97DA-EF201434FE04}"/>
    <hyperlink ref="N3" location="Resumen!A1" display="Comparativo " xr:uid="{EC0C3F96-4974-445B-B5A1-20FD30C62F85}"/>
    <hyperlink ref="N4" location="Referencias!A1" display="Referencias " xr:uid="{2AD34D2B-EC77-40C7-8748-FD6CE4BD62DF}"/>
    <hyperlink ref="N5" location="Input_costo2!A1" display="Inputs costos " xr:uid="{4A888C33-0939-42AD-8C90-49696453E3C3}"/>
    <hyperlink ref="N7" location="'Definiciones '!A1" display="Definiciones " xr:uid="{89737607-5D8E-414E-BF57-D033CDA1E35A}"/>
    <hyperlink ref="N6" location="'Inputs_OVR '!A1" display="Inputs evidencia " xr:uid="{3FE8617C-F761-474F-A9DB-D0F6E1B7D56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 macro="[0]!RX3_ActualizarCompleto">
                <anchor moveWithCells="1">
                  <from>
                    <xdr:col>14</xdr:col>
                    <xdr:colOff>304800</xdr:colOff>
                    <xdr:row>9</xdr:row>
                    <xdr:rowOff>228600</xdr:rowOff>
                  </from>
                  <to>
                    <xdr:col>14</xdr:col>
                    <xdr:colOff>640080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 macro="[0]!RX3_ActualizarCompleto">
                <anchor moveWithCells="1">
                  <from>
                    <xdr:col>14</xdr:col>
                    <xdr:colOff>312420</xdr:colOff>
                    <xdr:row>10</xdr:row>
                    <xdr:rowOff>160020</xdr:rowOff>
                  </from>
                  <to>
                    <xdr:col>14</xdr:col>
                    <xdr:colOff>601980</xdr:colOff>
                    <xdr:row>12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34F5F-0F22-4B25-8393-A803045B53DE}">
  <sheetPr codeName="Hoja2"/>
  <dimension ref="A4:D15"/>
  <sheetViews>
    <sheetView topLeftCell="A8" zoomScale="80" zoomScaleNormal="80" workbookViewId="0">
      <selection activeCell="C8" sqref="C8"/>
    </sheetView>
  </sheetViews>
  <sheetFormatPr baseColWidth="10" defaultRowHeight="14.4"/>
  <cols>
    <col min="1" max="2" width="42.44140625" style="4" customWidth="1"/>
    <col min="3" max="3" width="47.88671875" style="4" customWidth="1"/>
    <col min="4" max="4" width="42.44140625" style="4" customWidth="1"/>
    <col min="5" max="5" width="50.88671875" style="4" customWidth="1"/>
    <col min="6" max="16384" width="11.5546875" style="4"/>
  </cols>
  <sheetData>
    <row r="4" spans="1:4" ht="19.8">
      <c r="A4" s="35" t="s">
        <v>12</v>
      </c>
      <c r="B4" s="35" t="s">
        <v>11</v>
      </c>
      <c r="C4" s="35" t="s">
        <v>56</v>
      </c>
      <c r="D4" s="35" t="s">
        <v>57</v>
      </c>
    </row>
    <row r="5" spans="1:4" ht="102">
      <c r="A5" s="36" t="s">
        <v>14</v>
      </c>
      <c r="B5" s="37" t="s">
        <v>15</v>
      </c>
      <c r="C5" s="37" t="s">
        <v>58</v>
      </c>
      <c r="D5" s="37" t="s">
        <v>109</v>
      </c>
    </row>
    <row r="6" spans="1:4" ht="102">
      <c r="A6" s="36" t="s">
        <v>14</v>
      </c>
      <c r="B6" s="37" t="s">
        <v>16</v>
      </c>
      <c r="C6" s="37" t="s">
        <v>59</v>
      </c>
      <c r="D6" s="37" t="s">
        <v>110</v>
      </c>
    </row>
    <row r="7" spans="1:4" ht="102">
      <c r="A7" s="36" t="s">
        <v>10</v>
      </c>
      <c r="B7" s="37" t="s">
        <v>60</v>
      </c>
      <c r="C7" s="37" t="s">
        <v>111</v>
      </c>
      <c r="D7" s="37" t="s">
        <v>114</v>
      </c>
    </row>
    <row r="8" spans="1:4" ht="121.2" customHeight="1">
      <c r="A8" s="36" t="s">
        <v>10</v>
      </c>
      <c r="B8" s="37" t="s">
        <v>115</v>
      </c>
      <c r="C8" s="37" t="s">
        <v>116</v>
      </c>
      <c r="D8" s="37" t="s">
        <v>114</v>
      </c>
    </row>
    <row r="9" spans="1:4" ht="121.2" customHeight="1">
      <c r="A9" s="36" t="s">
        <v>10</v>
      </c>
      <c r="B9" s="37" t="s">
        <v>19</v>
      </c>
      <c r="C9" s="37" t="s">
        <v>112</v>
      </c>
      <c r="D9" s="37" t="s">
        <v>114</v>
      </c>
    </row>
    <row r="10" spans="1:4" ht="102">
      <c r="A10" s="36" t="s">
        <v>10</v>
      </c>
      <c r="B10" s="37" t="s">
        <v>118</v>
      </c>
      <c r="C10" s="37" t="s">
        <v>119</v>
      </c>
      <c r="D10" s="37" t="s">
        <v>114</v>
      </c>
    </row>
    <row r="11" spans="1:4" ht="81.599999999999994">
      <c r="A11" s="36" t="s">
        <v>18</v>
      </c>
      <c r="B11" s="37" t="s">
        <v>20</v>
      </c>
      <c r="C11" s="37" t="s">
        <v>61</v>
      </c>
      <c r="D11" s="37" t="s">
        <v>62</v>
      </c>
    </row>
    <row r="12" spans="1:4" ht="122.4">
      <c r="A12" s="36" t="s">
        <v>9</v>
      </c>
      <c r="B12" s="37" t="s">
        <v>21</v>
      </c>
      <c r="C12" s="37" t="s">
        <v>63</v>
      </c>
      <c r="D12" s="37" t="s">
        <v>64</v>
      </c>
    </row>
    <row r="13" spans="1:4" ht="102">
      <c r="A13" s="36" t="s">
        <v>9</v>
      </c>
      <c r="B13" s="37" t="s">
        <v>22</v>
      </c>
      <c r="C13" s="37" t="s">
        <v>65</v>
      </c>
      <c r="D13" s="37" t="s">
        <v>64</v>
      </c>
    </row>
    <row r="14" spans="1:4" ht="122.4">
      <c r="A14" s="36" t="s">
        <v>66</v>
      </c>
      <c r="B14" s="37" t="s">
        <v>24</v>
      </c>
      <c r="C14" s="37" t="s">
        <v>67</v>
      </c>
      <c r="D14" s="37" t="s">
        <v>68</v>
      </c>
    </row>
    <row r="15" spans="1:4" ht="102">
      <c r="A15" s="36" t="s">
        <v>66</v>
      </c>
      <c r="B15" s="37" t="s">
        <v>25</v>
      </c>
      <c r="C15" s="37" t="s">
        <v>69</v>
      </c>
      <c r="D15" s="37" t="s">
        <v>70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B9:T33"/>
  <sheetViews>
    <sheetView showGridLines="0" topLeftCell="A10" zoomScale="50" zoomScaleNormal="50" workbookViewId="0">
      <selection activeCell="D10" sqref="D10"/>
    </sheetView>
  </sheetViews>
  <sheetFormatPr baseColWidth="10" defaultColWidth="8.88671875" defaultRowHeight="14.4"/>
  <cols>
    <col min="1" max="1" width="2.6640625" customWidth="1"/>
    <col min="2" max="2" width="60.21875" customWidth="1"/>
    <col min="3" max="3" width="11.44140625" customWidth="1"/>
    <col min="4" max="4" width="83.33203125" customWidth="1"/>
    <col min="5" max="5" width="30.44140625" customWidth="1"/>
    <col min="6" max="6" width="26.77734375" customWidth="1"/>
    <col min="7" max="7" width="24.44140625" customWidth="1"/>
    <col min="8" max="12" width="19.5546875" customWidth="1"/>
    <col min="16" max="16" width="63.5546875" customWidth="1"/>
    <col min="18" max="18" width="33.109375" customWidth="1"/>
    <col min="20" max="20" width="38.77734375" hidden="1" customWidth="1"/>
  </cols>
  <sheetData>
    <row r="9" spans="2:20" ht="34.799999999999997">
      <c r="B9" s="11" t="s">
        <v>37</v>
      </c>
      <c r="D9" s="13" t="s">
        <v>35</v>
      </c>
      <c r="E9" s="73">
        <f>F31</f>
        <v>90.720000000000013</v>
      </c>
      <c r="F9" s="73"/>
    </row>
    <row r="10" spans="2:20" ht="20.399999999999999">
      <c r="B10" s="1"/>
      <c r="D10" s="12" t="s">
        <v>82</v>
      </c>
      <c r="E10" s="73"/>
      <c r="F10" s="73"/>
    </row>
    <row r="11" spans="2:20">
      <c r="E11" s="73"/>
      <c r="F11" s="73"/>
    </row>
    <row r="12" spans="2:20" ht="19.8">
      <c r="E12" s="74" t="s">
        <v>0</v>
      </c>
      <c r="F12" s="74"/>
    </row>
    <row r="14" spans="2:20" ht="28.8" customHeight="1" thickBot="1">
      <c r="B14" s="5" t="s">
        <v>1</v>
      </c>
      <c r="C14" s="6" t="s">
        <v>2</v>
      </c>
      <c r="D14" s="6" t="s">
        <v>42</v>
      </c>
      <c r="E14" s="6" t="s">
        <v>13</v>
      </c>
      <c r="F14" s="16" t="s">
        <v>3</v>
      </c>
      <c r="G14" s="6" t="s">
        <v>36</v>
      </c>
      <c r="H14" s="6">
        <v>1</v>
      </c>
      <c r="I14" s="6">
        <v>2</v>
      </c>
      <c r="J14" s="6">
        <v>3</v>
      </c>
      <c r="K14" s="6">
        <v>4</v>
      </c>
      <c r="L14" s="6">
        <v>5</v>
      </c>
      <c r="P14" s="21" t="s">
        <v>44</v>
      </c>
      <c r="R14" s="16" t="s">
        <v>47</v>
      </c>
      <c r="T14" s="16" t="s">
        <v>48</v>
      </c>
    </row>
    <row r="15" spans="2:20" ht="20.399999999999999">
      <c r="B15" s="76" t="s">
        <v>14</v>
      </c>
      <c r="C15" s="76"/>
      <c r="D15" s="76"/>
      <c r="E15" s="76"/>
      <c r="F15" s="76"/>
      <c r="G15" s="76"/>
      <c r="H15" s="7"/>
      <c r="I15" s="7"/>
      <c r="J15" s="7"/>
      <c r="K15" s="7"/>
      <c r="L15" s="7"/>
      <c r="P15" s="17"/>
    </row>
    <row r="16" spans="2:20" ht="67.2" customHeight="1">
      <c r="B16" s="8" t="s">
        <v>15</v>
      </c>
      <c r="C16" s="9">
        <v>20.5</v>
      </c>
      <c r="D16" s="14" t="str">
        <f>"La ganancia media de BCVA con " &amp; $D$10 &amp; " fue de " &amp; VLOOKUP(B16, Matriz_Resultados_Crudos!$A$1:$C$12, MATCH($D$10, Matriz_Resultados_Crudos!$A$1:$C$1, 0), FALSE) &amp; " letras, de acuerdo con lo reportado en la literatura científica."</f>
        <v>La ganancia media de BCVA con Ranibizumab 0,5 mg PRN  fue de 15,5 letras, de acuerdo con lo reportado en la literatura científica.</v>
      </c>
      <c r="E16" s="9">
        <f>VLOOKUP(B16, Matriz_Medicamentos!$A$2:$C$12, MATCH($D$10, Matriz_Medicamentos!$A$1:$C$1, 0), FALSE)</f>
        <v>5</v>
      </c>
      <c r="F16" s="9">
        <f>(C16 * (E16/5))</f>
        <v>20.5</v>
      </c>
      <c r="G16" s="71">
        <f>(F16+F17)/(C16+C17)*100</f>
        <v>100</v>
      </c>
      <c r="H16" s="10">
        <f>IF(COLUMNS($H16:H16)&lt;=$E16, 1, "")</f>
        <v>1</v>
      </c>
      <c r="I16" s="10">
        <f>IF(COLUMNS($H16:I16)&lt;=$E16, 1, "")</f>
        <v>1</v>
      </c>
      <c r="J16" s="10">
        <f>IF(COLUMNS($H16:J16)&lt;=$E16, 1, "")</f>
        <v>1</v>
      </c>
      <c r="K16" s="10">
        <f>IF(COLUMNS($H16:K16)&lt;=$E16, 1, "")</f>
        <v>1</v>
      </c>
      <c r="L16" s="10">
        <f>IF(COLUMNS($H16:L16)&lt;=$E16, 1, "")</f>
        <v>1</v>
      </c>
      <c r="P16" s="16" t="s">
        <v>54</v>
      </c>
      <c r="Q16" s="18"/>
      <c r="R16" s="22">
        <f>IFERROR(_xlfn.XLOOKUP($D$10,Input_costo2!$C:$C,Input_costo2!$I:$I),"")</f>
        <v>8267515</v>
      </c>
      <c r="T16" s="22" t="str">
        <f>IFERROR(IF(ISNUMBER(SEARCH("Ranibizumab",$D$10)),_xlfn.XLOOKUP("Ranibizumab 0,5 mg q4w",#REF!,#REF!),IF(ISNUMBER(SEARCH("Aflibercept",$D$10)),_xlfn.XLOOKUP("Aflibercept 2 mg q8w",#REF!,#REF!),IF(ISNUMBER(SEARCH("Faricimab",$D$10)),#REF!,""))),"")</f>
        <v/>
      </c>
    </row>
    <row r="17" spans="2:20" ht="44.4" customHeight="1" thickBot="1">
      <c r="B17" s="8" t="s">
        <v>16</v>
      </c>
      <c r="C17" s="9">
        <v>14.5</v>
      </c>
      <c r="D17" s="15" t="str">
        <f>"La proporción de pacientes con ganancia ≥15 letras en BCVA fue de " &amp; VLOOKUP(B17, Matriz_Resultados_Crudos!$A$1:$C$12, MATCH($D$10, Matriz_Resultados_Crudos!$A$1:$C$1, 0), FALSE) &amp; "% con " &amp; $D$10 &amp; " según el tiempo reportado en la literatura."</f>
        <v>La proporción de pacientes con ganancia ≥15 letras en BCVA fue de 52,8% con Ranibizumab 0,5 mg PRN  según el tiempo reportado en la literatura.</v>
      </c>
      <c r="E17" s="9">
        <f>VLOOKUP(B17, Matriz_Medicamentos!$A$2:$C$12, MATCH($D$10, Matriz_Medicamentos!$A$1:$C$1, 0), FALSE)</f>
        <v>5</v>
      </c>
      <c r="F17" s="9">
        <f>(C17 * (E17/5))</f>
        <v>14.5</v>
      </c>
      <c r="G17" s="71"/>
      <c r="H17" s="10">
        <f>IF(COLUMNS($H17:H17)&lt;=$E17, 1, "")</f>
        <v>1</v>
      </c>
      <c r="I17" s="10">
        <f>IF(COLUMNS($H17:I17)&lt;=$E17, 1, "")</f>
        <v>1</v>
      </c>
      <c r="J17" s="10">
        <f>IF(COLUMNS($H17:J17)&lt;=$E17, 1, "")</f>
        <v>1</v>
      </c>
      <c r="K17" s="10">
        <f>IF(COLUMNS($H17:K17)&lt;=$E17, 1, "")</f>
        <v>1</v>
      </c>
      <c r="L17" s="10">
        <f>IF(COLUMNS($H17:L17)&lt;=$E17, 1, "")</f>
        <v>1</v>
      </c>
      <c r="P17" s="19"/>
      <c r="Q17" s="18"/>
      <c r="R17" s="20"/>
    </row>
    <row r="18" spans="2:20" ht="66" customHeight="1">
      <c r="B18" s="76" t="s">
        <v>18</v>
      </c>
      <c r="C18" s="76"/>
      <c r="D18" s="76"/>
      <c r="E18" s="76"/>
      <c r="F18" s="76"/>
      <c r="G18" s="76"/>
      <c r="H18" s="7"/>
      <c r="I18" s="7"/>
      <c r="J18" s="7"/>
      <c r="K18" s="7"/>
      <c r="L18" s="7"/>
      <c r="P18" s="16" t="s">
        <v>45</v>
      </c>
      <c r="Q18" s="18"/>
      <c r="R18" s="22">
        <f>IFERROR(_xlfn.XLOOKUP($D$10,Input_costo2!$C:$C,Input_costo2!$M:$M),"")</f>
        <v>9789895</v>
      </c>
      <c r="T18" s="22" t="str">
        <f>IFERROR(IF(ISNUMBER(SEARCH("Ranibizumab",$D$10)),_xlfn.XLOOKUP("Ranibizumab 0,5 mg q4w",#REF!,#REF!),IF(ISNUMBER(SEARCH("Aflibercept",$D$10)),_xlfn.XLOOKUP("Aflibercept 2 mg q8w",#REF!,#REF!),IF(ISNUMBER(SEARCH("Faricimab",$D$10)),#REF!,""))),"")</f>
        <v/>
      </c>
    </row>
    <row r="19" spans="2:20" ht="86.4" customHeight="1">
      <c r="B19" s="8" t="s">
        <v>17</v>
      </c>
      <c r="C19" s="9">
        <v>13.2</v>
      </c>
      <c r="D19" s="14" t="str">
        <f>IF(
OR(
VLOOKUP(B19,Matriz_Resultados_Crudos!$A$1:$I$12,MATCH($D$10,Matriz_Resultados_Crudos!$A$1:$I$1,0),FALSE)="",
VLOOKUP(B19,Matriz_Resultados_Crudos!$A$1:$I$12,MATCH($D$10,Matriz_Resultados_Crudos!$A$1:$I$1,0),FALSE)="NR"
),
"Información No Reportada (NR)",
IF(
VLOOKUP(B19,Matriz_Resultados_Crudos!$A$1:$I$12,MATCH($D$10,Matriz_Resultados_Crudos!$A$1:$I$1,0),FALSE)=0,
"Para "&amp;$D$10&amp;" no se reportaron casos de "&amp;LOWER(B19)&amp;" como evento adverso serio durante el periodo de seguimiento clínico reportado en el estudio fuente.",
IF(
VLOOKUP(B19,Matriz_Resultados_Crudos!$A$1:$I$12,MATCH($D$10,Matriz_Resultados_Crudos!$A$1:$I$1,0),FALSE)&lt;0.005,
"Para "&amp;$D$10&amp;", la frecuencia reportada de "&amp;LOWER(B19)&amp;" como evento adverso serio fue mayor de 0% y menor de 0,5%.",
IF(
VLOOKUP(B19,Matriz_Resultados_Crudos!$A$1:$I$12,MATCH($D$10,Matriz_Resultados_Crudos!$A$1:$I$1,0),FALSE)&lt;0.01,
"Para "&amp;$D$10&amp;", la frecuencia reportada de "&amp;LOWER(B19)&amp;" como evento adverso serio fue de 0,5% a menos de 1%.",
IF(
VLOOKUP(B19,Matriz_Resultados_Crudos!$A$1:$I$12,MATCH($D$10,Matriz_Resultados_Crudos!$A$1:$I$1,0),FALSE)&lt;0.03,
"Para "&amp;$D$10&amp;", la frecuencia reportada de "&amp;LOWER(B19)&amp;" como evento adverso serio fue de 1% a menos de 3%.",
"Para "&amp;$D$10&amp;", la frecuencia reportada de "&amp;LOWER(B19)&amp;" como evento adverso serio fue igual o superior al 3%."
)))))</f>
        <v>Para Ranibizumab 0,5 mg PRN  no se reportaron casos de desprendimiento de retina  como evento adverso serio durante el periodo de seguimiento clínico reportado en el estudio fuente.</v>
      </c>
      <c r="E19" s="9">
        <f>VLOOKUP(B19, Matriz_Medicamentos!$A$2:$C$12, MATCH($D$10, Matriz_Medicamentos!$A$1:$C$1, 0), FALSE)</f>
        <v>5</v>
      </c>
      <c r="F19" s="9">
        <f>(C19 * (E19/5))</f>
        <v>13.2</v>
      </c>
      <c r="G19" s="72">
        <f>(F19+F20+F21+F22+F23)/(C19+C20+C21+C22+C23)*100</f>
        <v>90.893617021276611</v>
      </c>
      <c r="H19" s="10">
        <f>IF(COLUMNS($H19:H19)&lt;=$E19, 1, "")</f>
        <v>1</v>
      </c>
      <c r="I19" s="10">
        <f>IF(COLUMNS($H19:I19)&lt;=$E19, 1, "")</f>
        <v>1</v>
      </c>
      <c r="J19" s="10">
        <f>IF(COLUMNS($H19:J19)&lt;=$E19, 1, "")</f>
        <v>1</v>
      </c>
      <c r="K19" s="10">
        <f>IF(COLUMNS($H19:K19)&lt;=$E19, 1, "")</f>
        <v>1</v>
      </c>
      <c r="L19" s="10">
        <f>IF(COLUMNS($H19:L19)&lt;=$E19, 1, "")</f>
        <v>1</v>
      </c>
      <c r="N19" t="s">
        <v>117</v>
      </c>
      <c r="P19" s="18"/>
      <c r="Q19" s="18"/>
      <c r="R19" s="20"/>
    </row>
    <row r="20" spans="2:20" ht="86.4" customHeight="1">
      <c r="B20" s="8" t="s">
        <v>113</v>
      </c>
      <c r="C20" s="9">
        <v>10.7</v>
      </c>
      <c r="D20" s="14" t="str">
        <f>IF(
OR(
VLOOKUP(B20,Matriz_Resultados_Crudos!$A$1:$I$12,MATCH($D$10,Matriz_Resultados_Crudos!$A$1:$I$1,0),FALSE)="",
VLOOKUP(B20,Matriz_Resultados_Crudos!$A$1:$I$12,MATCH($D$10,Matriz_Resultados_Crudos!$A$1:$I$1,0),FALSE)="NR"
),
"Información No Reportada (NR)",
IF(
VLOOKUP(B20,Matriz_Resultados_Crudos!$A$1:$I$12,MATCH($D$10,Matriz_Resultados_Crudos!$A$1:$I$1,0),FALSE)=0,
"Para "&amp;$D$10&amp;" no se reportaron casos de "&amp;LOWER(B20)&amp;" como evento adverso serio durante el periodo de seguimiento clínico reportado en el estudio fuente.",
IF(
VLOOKUP(B20,Matriz_Resultados_Crudos!$A$1:$I$12,MATCH($D$10,Matriz_Resultados_Crudos!$A$1:$I$1,0),FALSE)&lt;0.005,
"Para "&amp;$D$10&amp;", la frecuencia reportada de "&amp;LOWER(B20)&amp;" como evento adverso serio fue mayor de 0% y menor de 0,5%.",
IF(
VLOOKUP(B20,Matriz_Resultados_Crudos!$A$1:$I$12,MATCH($D$10,Matriz_Resultados_Crudos!$A$1:$I$1,0),FALSE)&lt;0.01,
"Para "&amp;$D$10&amp;", la frecuencia reportada de "&amp;LOWER(B20)&amp;" como evento adverso serio fue de 0,5% a menos de 1%.",
IF(
VLOOKUP(B20,Matriz_Resultados_Crudos!$A$1:$I$12,MATCH($D$10,Matriz_Resultados_Crudos!$A$1:$I$1,0),FALSE)&lt;0.03,
"Para "&amp;$D$10&amp;", la frecuencia reportada de "&amp;LOWER(B20)&amp;" como evento adverso serio fue de 1% a menos de 3%.",
"Para "&amp;$D$10&amp;", la frecuencia reportada de "&amp;LOWER(B20)&amp;" como evento adverso serio fue igual o superior al 3%."
)))))</f>
        <v>Para Ranibizumab 0,5 mg PRN  no se reportaron casos de evento cerebrovascular como evento adverso serio durante el periodo de seguimiento clínico reportado en el estudio fuente.</v>
      </c>
      <c r="E20" s="9">
        <f>VLOOKUP(B20, Matriz_Medicamentos!$A$2:$C$12, MATCH($D$10, Matriz_Medicamentos!$A$1:$C$1, 0), FALSE)</f>
        <v>5</v>
      </c>
      <c r="F20" s="9">
        <f>(C20 * (E20/5))</f>
        <v>10.7</v>
      </c>
      <c r="G20" s="72"/>
      <c r="H20" s="10">
        <f>IF(COLUMNS($H20:H20)&lt;=$E20, 1, "")</f>
        <v>1</v>
      </c>
      <c r="I20" s="10">
        <f>IF(COLUMNS($H20:I20)&lt;=$E20, 1, "")</f>
        <v>1</v>
      </c>
      <c r="J20" s="10">
        <f>IF(COLUMNS($H20:J20)&lt;=$E20, 1, "")</f>
        <v>1</v>
      </c>
      <c r="K20" s="10">
        <f>IF(COLUMNS($H20:K20)&lt;=$E20, 1, "")</f>
        <v>1</v>
      </c>
      <c r="L20" s="10">
        <f>IF(COLUMNS($H20:L20)&lt;=$E20, 1, "")</f>
        <v>1</v>
      </c>
      <c r="P20" s="18"/>
      <c r="Q20" s="18"/>
      <c r="R20" s="20"/>
    </row>
    <row r="21" spans="2:20" ht="61.2" customHeight="1">
      <c r="B21" s="8" t="s">
        <v>19</v>
      </c>
      <c r="C21" s="9">
        <v>10.7</v>
      </c>
      <c r="D21" s="14" t="str">
        <f>IF(
OR(
VLOOKUP(B21,Matriz_Resultados_Crudos!$A$1:$I$12,MATCH($D$10,Matriz_Resultados_Crudos!$A$1:$I$1,0),FALSE)="",
VLOOKUP(B21,Matriz_Resultados_Crudos!$A$1:$I$12,MATCH($D$10,Matriz_Resultados_Crudos!$A$1:$I$1,0),FALSE)="NR"
),
"Información No Reportada (NR)",
IF(
VLOOKUP(B21,Matriz_Resultados_Crudos!$A$1:$I$12,MATCH($D$10,Matriz_Resultados_Crudos!$A$1:$I$1,0),FALSE)=0,
"Para "&amp;$D$10&amp;" no se reportaron casos de "&amp;LOWER(B21)&amp;" como evento adverso serio durante el periodo de seguimiento clínico reportado en el estudio fuente.",
IF(
VLOOKUP(B21,Matriz_Resultados_Crudos!$A$1:$I$12,MATCH($D$10,Matriz_Resultados_Crudos!$A$1:$I$1,0),FALSE)&lt;0.005,
"Para "&amp;$D$10&amp;", la frecuencia reportada de "&amp;LOWER(B21)&amp;" como evento adverso serio fue mayor de 0% y menor de 0,5%.",
IF(
VLOOKUP(B21,Matriz_Resultados_Crudos!$A$1:$I$12,MATCH($D$10,Matriz_Resultados_Crudos!$A$1:$I$1,0),FALSE)&lt;0.01,
"Para "&amp;$D$10&amp;", la frecuencia reportada de "&amp;LOWER(B21)&amp;" como evento adverso serio fue de 0,5% a menos de 1%.",
IF(
VLOOKUP(B21,Matriz_Resultados_Crudos!$A$1:$I$12,MATCH($D$10,Matriz_Resultados_Crudos!$A$1:$I$1,0),FALSE)&lt;0.03,
"Para "&amp;$D$10&amp;", la frecuencia reportada de "&amp;LOWER(B21)&amp;" como evento adverso serio fue de 1% a menos de 3%.",
"Para "&amp;$D$10&amp;", la frecuencia reportada de "&amp;LOWER(B21)&amp;" como evento adverso serio fue igual o superior al 3%."
)))))</f>
        <v>Para Ranibizumab 0,5 mg PRN , la frecuencia reportada de infarto agudo de miocardio como evento adverso serio fue de 0,5% a menos de 1%.</v>
      </c>
      <c r="E21" s="9">
        <f>VLOOKUP(B21, Matriz_Medicamentos!$A$2:$C$12, MATCH($D$10, Matriz_Medicamentos!$A$1:$C$1, 0), FALSE)</f>
        <v>3</v>
      </c>
      <c r="F21" s="9">
        <f>(C21 * (E21/5))</f>
        <v>6.419999999999999</v>
      </c>
      <c r="G21" s="72"/>
      <c r="H21" s="10">
        <f>IF(COLUMNS($H21:H21)&lt;=$E21, 1, "")</f>
        <v>1</v>
      </c>
      <c r="I21" s="10">
        <f>IF(COLUMNS($H21:I21)&lt;=$E21, 1, "")</f>
        <v>1</v>
      </c>
      <c r="J21" s="10">
        <f>IF(COLUMNS($H21:J21)&lt;=$E21, 1, "")</f>
        <v>1</v>
      </c>
      <c r="K21" s="10" t="str">
        <f>IF(COLUMNS($H21:K21)&lt;=$E21, 1, "")</f>
        <v/>
      </c>
      <c r="L21" s="10" t="str">
        <f>IF(COLUMNS($H21:L21)&lt;=$E21, 1, "")</f>
        <v/>
      </c>
      <c r="P21" s="16" t="s">
        <v>43</v>
      </c>
      <c r="Q21" s="18"/>
      <c r="R21" s="22">
        <f>IFERROR(_xlfn.XLOOKUP($D$10,Input_costo2!$C:$C,Input_costo2!$O:$O),"")</f>
        <v>18057410</v>
      </c>
      <c r="T21" s="22" t="str">
        <f>IFERROR(IF(ISNUMBER(SEARCH("Ranibizumab",$D$10)),_xlfn.XLOOKUP("Ranibizumab 0,5 mg q4w",#REF!,#REF!),IF(ISNUMBER(SEARCH("Aflibercept",$D$10)),_xlfn.XLOOKUP("Aflibercept 2 mg q8w",#REF!,#REF!),IF(ISNUMBER(SEARCH("Faricimab",$D$10)),#REF!,""))),"")</f>
        <v/>
      </c>
    </row>
    <row r="22" spans="2:20" ht="77.400000000000006" customHeight="1">
      <c r="B22" s="8" t="s">
        <v>118</v>
      </c>
      <c r="C22" s="9">
        <v>7.4</v>
      </c>
      <c r="D22" s="14" t="str">
        <f>IF(
OR(
VLOOKUP(B22,Matriz_Resultados_Crudos!$A$1:$I$12,MATCH($D$10,Matriz_Resultados_Crudos!$A$1:$I$1,0),FALSE)="",
VLOOKUP(B22,Matriz_Resultados_Crudos!$A$1:$I$12,MATCH($D$10,Matriz_Resultados_Crudos!$A$1:$I$1,0),FALSE)="NR"
),
"Información No Reportada (NR)",
IF(
VLOOKUP(B22,Matriz_Resultados_Crudos!$A$1:$I$12,MATCH($D$10,Matriz_Resultados_Crudos!$A$1:$I$1,0),FALSE)=0,
"Para "&amp;$D$10&amp;" no se reportaron casos de "&amp;LOWER(B22)&amp;" como evento adverso  durante el periodo de seguimiento clínico reportado en el estudio fuente.",
IF(
VLOOKUP(B22,Matriz_Resultados_Crudos!$A$1:$I$12,MATCH($D$10,Matriz_Resultados_Crudos!$A$1:$I$1,0),FALSE)&lt;0.005,
"Para "&amp;$D$10&amp;", la frecuencia reportada de "&amp;LOWER(B22)&amp;" como evento adverso  fue mayor de 0% y menor de 0,5%.",
IF(
VLOOKUP(B22,Matriz_Resultados_Crudos!$A$1:$I$12,MATCH($D$10,Matriz_Resultados_Crudos!$A$1:$I$1,0),FALSE)&lt;0.01,
"Para "&amp;$D$10&amp;", la frecuencia reportada de "&amp;LOWER(B22)&amp;" como evento adverso  fue de 0,5% a menos de 1%.",
IF(
VLOOKUP(B22,Matriz_Resultados_Crudos!$A$1:$I$12,MATCH($D$10,Matriz_Resultados_Crudos!$A$1:$I$1,0),FALSE)&lt;0.03,
"Para "&amp;$D$10&amp;", la frecuencia reportada de "&amp;LOWER(B22)&amp;" como evento adverso  fue de 1% a menos de 3%.",
"Para "&amp;$D$10&amp;", la frecuencia reportada de "&amp;LOWER(B22)&amp;" como evento adverso  fue igual o superior al 3%."
)))))</f>
        <v>Para Ranibizumab 0,5 mg PRN  no se reportaron casos de vitreitis como evento adverso  durante el periodo de seguimiento clínico reportado en el estudio fuente.</v>
      </c>
      <c r="E22" s="9">
        <f>VLOOKUP(B22, Matriz_Medicamentos!$A$2:$C$12, MATCH($D$10, Matriz_Medicamentos!$A$1:$C$1, 0), FALSE)</f>
        <v>5</v>
      </c>
      <c r="F22" s="9">
        <f>(C22 * (E22/5))</f>
        <v>7.4</v>
      </c>
      <c r="G22" s="72"/>
      <c r="H22" s="10">
        <f>IF(COLUMNS($H22:H22)&lt;=$E22, 1, "")</f>
        <v>1</v>
      </c>
      <c r="I22" s="10">
        <f>IF(COLUMNS($H22:I22)&lt;=$E22, 1, "")</f>
        <v>1</v>
      </c>
      <c r="J22" s="10">
        <f>IF(COLUMNS($H22:J22)&lt;=$E22, 1, "")</f>
        <v>1</v>
      </c>
      <c r="K22" s="10">
        <f>IF(COLUMNS($H22:K22)&lt;=$E22, 1, "")</f>
        <v>1</v>
      </c>
      <c r="L22" s="10">
        <f>IF(COLUMNS($H22:L22)&lt;=$E22, 1, "")</f>
        <v>1</v>
      </c>
      <c r="P22" s="18"/>
      <c r="Q22" s="18"/>
      <c r="R22" s="20"/>
    </row>
    <row r="23" spans="2:20" ht="75.599999999999994" customHeight="1" thickBot="1">
      <c r="B23" s="8" t="s">
        <v>20</v>
      </c>
      <c r="C23" s="9">
        <v>5</v>
      </c>
      <c r="D23" s="14" t="str">
        <f>IF(VLOOKUP(B23, Matriz_Resultados_Crudos!$A$1:$C$12, MATCH($D$10, Matriz_Resultados_Crudos!$A$1:$C$1, 0), FALSE)="No prolongada", "Supresión sistémica baja. ; perfil seguro y de elección en riesgo renal , según la guía fuente.", IF(VLOOKUP(B23, Matriz_Resultados_Crudos!$A$1:$C$12, MATCH($D$10, Matriz_Resultados_Crudos!$A$1:$C$1, 0), FALSE)="Prolongada", "Supresión sistémica prolongada. Restringido si TFGe &lt; 60 ml/min  de acuerdo con la guía fuente ).", "PRECAUCIÓN: Mecanismo biespecífico actualmente bajo investigación. Datos clínicos limitados a largo plazo en nefropatía."))</f>
        <v>Supresión sistémica baja. ; perfil seguro y de elección en riesgo renal , según la guía fuente.</v>
      </c>
      <c r="E23" s="9">
        <f>VLOOKUP(B23, Matriz_Medicamentos!$A$2:$C$12, MATCH($D$10, Matriz_Medicamentos!$A$1:$C$1, 0), FALSE)</f>
        <v>5</v>
      </c>
      <c r="F23" s="9">
        <f>(C23 * (E23/5))</f>
        <v>5</v>
      </c>
      <c r="G23" s="72"/>
      <c r="H23" s="10">
        <f>IF(COLUMNS($H23:H23)&lt;=$E23, 1, "")</f>
        <v>1</v>
      </c>
      <c r="I23" s="10">
        <f>IF(COLUMNS($H23:I23)&lt;=$E23, 1, "")</f>
        <v>1</v>
      </c>
      <c r="J23" s="10">
        <f>IF(COLUMNS($H23:J23)&lt;=$E23, 1, "")</f>
        <v>1</v>
      </c>
      <c r="K23" s="10">
        <f>IF(COLUMNS($H23:K23)&lt;=$E23, 1, "")</f>
        <v>1</v>
      </c>
      <c r="L23" s="10">
        <f>IF(COLUMNS($H23:L23)&lt;=$E23, 1, "")</f>
        <v>1</v>
      </c>
      <c r="P23" s="16" t="s">
        <v>46</v>
      </c>
      <c r="Q23" s="18"/>
      <c r="R23" s="23">
        <f>R21/E9</f>
        <v>199045.524691358</v>
      </c>
      <c r="T23" s="22" t="e">
        <f>T21/E9</f>
        <v>#VALUE!</v>
      </c>
    </row>
    <row r="24" spans="2:20" ht="20.399999999999999">
      <c r="B24" s="76" t="s">
        <v>40</v>
      </c>
      <c r="C24" s="76"/>
      <c r="D24" s="76"/>
      <c r="E24" s="76"/>
      <c r="F24" s="76"/>
      <c r="G24" s="76"/>
      <c r="H24" s="7"/>
      <c r="I24" s="7"/>
      <c r="J24" s="7"/>
      <c r="K24" s="7"/>
      <c r="L24" s="7"/>
    </row>
    <row r="25" spans="2:20" ht="76.8" customHeight="1">
      <c r="B25" s="8" t="s">
        <v>21</v>
      </c>
      <c r="C25" s="9">
        <v>6</v>
      </c>
      <c r="D25" s="14" t="str">
        <f>IF(VLOOKUP(B25, Matriz_Resultados_Crudos!$A$1:$C$12, MATCH($D$10, Matriz_Resultados_Crudos!$A$1:$C$1, 0), FALSE)="Mejoría", "  La evidencia sugiere una mejora en la calidad de vida  global del paciente, tras el tratamiento con " &amp; $D$10 &amp; ", según la literatura fuente del modelo.", IF(VLOOKUP(B25, Matriz_Resultados_Crudos!$A$1:$C$12, MATCH($D$10, Matriz_Resultados_Crudos!$A$1:$C$1, 0), FALSE)="Empeoramiento", "Alerta: Restricción en la calidad de vida con " &amp; $D$10 &amp; ". Evidencia reporta deterioro significativo en los ámbitos laboral, social o funcional.", IF(VLOOKUP(B25, Matriz_Resultados_Crudos!$A$1:$C$12, MATCH($D$10, Matriz_Resultados_Crudos!$A$1:$C$1, 0), FALSE)="Sin efecto", "Estabilidad clínica: No se reportaron cambios significativos en la calidad de vida ni en el desempeño diario del paciente con " &amp; $D$10 &amp; ".", "Información No Reportada (NR) sobre calidad de vida.")))</f>
        <v xml:space="preserve">  La evidencia sugiere una mejora en la calidad de vida  global del paciente, tras el tratamiento con Ranibizumab 0,5 mg PRN , según la literatura fuente del modelo.</v>
      </c>
      <c r="E25" s="9">
        <f>VLOOKUP(B25, Matriz_Medicamentos!$A$2:$C$12, MATCH($D$10, Matriz_Medicamentos!$A$1:$C$1, 0), FALSE)</f>
        <v>5</v>
      </c>
      <c r="F25" s="9">
        <f>(C25 * (E25/5))</f>
        <v>6</v>
      </c>
      <c r="G25" s="75">
        <f>(F25+F26)/(C25+C26)*100</f>
        <v>54.54545454545454</v>
      </c>
      <c r="H25" s="10">
        <f>IF(COLUMNS($H25:H25)&lt;=$E25, 1, "")</f>
        <v>1</v>
      </c>
      <c r="I25" s="10">
        <f>IF(COLUMNS($H25:I25)&lt;=$E25, 1, "")</f>
        <v>1</v>
      </c>
      <c r="J25" s="10">
        <f>IF(COLUMNS($H25:J25)&lt;=$E25, 1, "")</f>
        <v>1</v>
      </c>
      <c r="K25" s="10">
        <f>IF(COLUMNS($H25:K25)&lt;=$E25, 1, "")</f>
        <v>1</v>
      </c>
      <c r="L25" s="10">
        <f>IF(COLUMNS($H25:L25)&lt;=$E25, 1, "")</f>
        <v>1</v>
      </c>
      <c r="P25" s="69"/>
      <c r="Q25" s="69"/>
      <c r="R25" s="69"/>
    </row>
    <row r="26" spans="2:20" ht="82.2" thickBot="1">
      <c r="B26" s="8" t="s">
        <v>22</v>
      </c>
      <c r="C26" s="9">
        <v>5</v>
      </c>
      <c r="D26" s="14" t="str">
        <f>IF(VLOOKUP(B26, Matriz_Resultados_Crudos!$A$1:$C$12, MATCH($D$10, Matriz_Resultados_Crudos!$A$1:$C$1, 0), FALSE)="Mejoría", " La evidencia disponible muestra una mejora en los dominios relacionados con la capacidad funcional o  el desempeño de los pacientes en las actividades de la vida diaria tras el tratamiento con " &amp; $D$10 &amp; ".", IF(VLOOKUP(B26, Matriz_Resultados_Crudos!$A$1:$C$12, MATCH($D$10, Matriz_Resultados_Crudos!$A$1:$C$1, 0), FALSE)="Empeoramiento", "Alerta de deterioro funcional: Se evidencia un incremento en el grado de discapacidad o restricciones severas para realizar actividades de la vida diaria con " &amp; $D$10 &amp; ".", IF(VLOOKUP(B26, Matriz_Resultados_Crudos!$A$1:$C$12, MATCH($D$10, Matriz_Resultados_Crudos!$A$1:$C$1, 0), FALSE)="Sin efecto", "Estabilidad funcional: No se reportaron cambios significativos en el grado de discapacidad basal ni en el desempeño diario del paciente con " &amp; $D$10 &amp; ".", "No se encontraron datos disponibles para dominios relacionados con la capacidad funcional del paciente y a su desempeño en las actividades de la vida diaria; para " &amp; $D$10 &amp; " solo se encuentran datos para la calidad de vida global.")))</f>
        <v>No se encontraron datos disponibles para dominios relacionados con la capacidad funcional del paciente y a su desempeño en las actividades de la vida diaria; para Ranibizumab 0,5 mg PRN  solo se encuentran datos para la calidad de vida global.</v>
      </c>
      <c r="E26" s="9">
        <f>VLOOKUP(B26, Matriz_Medicamentos!$A$2:$C$12, MATCH($D$10, Matriz_Medicamentos!$A$1:$C$1, 0), FALSE)</f>
        <v>0</v>
      </c>
      <c r="F26" s="9">
        <f>(C26 * (E26/5))</f>
        <v>0</v>
      </c>
      <c r="G26" s="75"/>
      <c r="H26" s="10" t="str">
        <f>IF(COLUMNS($H26:H26)&lt;=$E26, 1, "")</f>
        <v/>
      </c>
      <c r="I26" s="10" t="str">
        <f>IF(COLUMNS($H26:I26)&lt;=$E26, 1, "")</f>
        <v/>
      </c>
      <c r="J26" s="10" t="str">
        <f>IF(COLUMNS($H26:J26)&lt;=$E26, 1, "")</f>
        <v/>
      </c>
      <c r="K26" s="10" t="str">
        <f>IF(COLUMNS($H26:K26)&lt;=$E26, 1, "")</f>
        <v/>
      </c>
      <c r="L26" s="10" t="str">
        <f>IF(COLUMNS($H26:L26)&lt;=$E26, 1, "")</f>
        <v/>
      </c>
    </row>
    <row r="27" spans="2:20" ht="20.399999999999999">
      <c r="B27" s="76" t="s">
        <v>23</v>
      </c>
      <c r="C27" s="76"/>
      <c r="D27" s="76"/>
      <c r="E27" s="76"/>
      <c r="F27" s="76"/>
      <c r="G27" s="76"/>
      <c r="H27" s="7"/>
      <c r="I27" s="7"/>
      <c r="J27" s="7"/>
      <c r="K27" s="7"/>
      <c r="L27" s="7"/>
    </row>
    <row r="28" spans="2:20" ht="78.599999999999994" customHeight="1">
      <c r="B28" s="8" t="s">
        <v>24</v>
      </c>
      <c r="C28" s="9">
        <v>3.5</v>
      </c>
      <c r="D28" s="14" t="str">
        <f>IF(VLOOKUP(B28, Matriz_Resultados_Crudos!$A$1:$C$12, MATCH($D$10, Matriz_Resultados_Crudos!$A$1:$C$1, 0), FALSE)="On-Label", "Aprobación vigente: La tecnología " &amp; $D$10 &amp; " cuenta con una indicación formalmente aprobada por la agencia de salud para esta patología y dispone de registro sanitario activo en el país, respaldando su uso clínico .", IF(VLOOKUP(B28, Matriz_Resultados_Crudos!$A$1:$C$12, MATCH($D$10, Matriz_Resultados_Crudos!$A$1:$C$1, 0), FALSE)="Off-label", "Uso fuera de indicación (Off-Label): La tecnología " &amp; $D$10 &amp; " no cuenta con un registro sanitario específico ni indicación autorizada por la agencia de salud para el manejo de esta enfermedad en el país.", "Estado regulatorio no reportado o en proceso de evaluación sanitaria para " &amp; $D$10 &amp; "."))</f>
        <v>Aprobación vigente: La tecnología Ranibizumab 0,5 mg PRN  cuenta con una indicación formalmente aprobada por la agencia de salud para esta patología y dispone de registro sanitario activo en el país, respaldando su uso clínico .</v>
      </c>
      <c r="E28" s="9">
        <f>VLOOKUP(B28, Matriz_Medicamentos!$A$2:$C$12, MATCH($D$10, Matriz_Medicamentos!$A$1:$C$1, 0), FALSE)</f>
        <v>5</v>
      </c>
      <c r="F28" s="9">
        <f>(C28 * (E28/5))</f>
        <v>3.5</v>
      </c>
      <c r="G28" s="70">
        <f>(F28+F29)/(C28+C29)*100</f>
        <v>100</v>
      </c>
      <c r="H28" s="10">
        <f>IF(COLUMNS($H28:H28)&lt;=$E28, 1, "")</f>
        <v>1</v>
      </c>
      <c r="I28" s="10">
        <f>IF(COLUMNS($H28:I28)&lt;=$E28, 1, "")</f>
        <v>1</v>
      </c>
      <c r="J28" s="10">
        <f>IF(COLUMNS($H28:J28)&lt;=$E28, 1, "")</f>
        <v>1</v>
      </c>
      <c r="K28" s="10">
        <f>IF(COLUMNS($H28:K28)&lt;=$E28, 1, "")</f>
        <v>1</v>
      </c>
      <c r="L28" s="10">
        <f>IF(COLUMNS($H28:L28)&lt;=$E28, 1, "")</f>
        <v>1</v>
      </c>
    </row>
    <row r="29" spans="2:20" ht="121.2" customHeight="1">
      <c r="B29" s="8" t="s">
        <v>25</v>
      </c>
      <c r="C29" s="9">
        <v>3.5</v>
      </c>
      <c r="D29" s="14" t="str">
        <f>IF(VLOOKUP(B29, Matriz_Resultados_Crudos!$A$1:$C$12, MATCH($D$10, Matriz_Resultados_Crudos!$A$1:$C$1, 0), FALSE)="Incluido", "" &amp; $D$10 &amp; " está incluido como una opción de tratamiento en las guías de práctica clínica de referencia, teniendo un  posicionamiento actual en el  algoritmo terapéutico.", IF(VLOOKUP(B29, Matriz_Resultados_Crudos!$A$1:$C$12, MATCH($D$10, Matriz_Resultados_Crudos!$A$1:$C$1, 0), FALSE)="No incluido", "Sin recomendación formal: La tecnología " &amp; $D$10 &amp; " no está incluida en las guías de práctica clínica de referencia para esta enfermedad, lo que evidencia una falta de consenso o adopción en los esquemas de tratamiento estándar.", "Evidencia no disponible o pendiente de actualización sobre la inclusión de " &amp; $D$10 &amp; " en guías de práctica clínica."))</f>
        <v>Ranibizumab 0,5 mg PRN  está incluido como una opción de tratamiento en las guías de práctica clínica de referencia, teniendo un  posicionamiento actual en el  algoritmo terapéutico.</v>
      </c>
      <c r="E29" s="9">
        <f>VLOOKUP(B29, Matriz_Medicamentos!$A$2:$C$12, MATCH($D$10, Matriz_Medicamentos!$A$1:$C$1, 0), FALSE)</f>
        <v>5</v>
      </c>
      <c r="F29" s="9">
        <f>(C29 * (E29/5))</f>
        <v>3.5</v>
      </c>
      <c r="G29" s="70"/>
      <c r="H29" s="10">
        <f>IF(COLUMNS($H29:H29)&lt;=$E29, 1, "")</f>
        <v>1</v>
      </c>
      <c r="I29" s="10">
        <f>IF(COLUMNS($H29:I29)&lt;=$E29, 1, "")</f>
        <v>1</v>
      </c>
      <c r="J29" s="10">
        <f>IF(COLUMNS($H29:J29)&lt;=$E29, 1, "")</f>
        <v>1</v>
      </c>
      <c r="K29" s="10">
        <f>IF(COLUMNS($H29:K29)&lt;=$E29, 1, "")</f>
        <v>1</v>
      </c>
      <c r="L29" s="10">
        <f>IF(COLUMNS($H29:L29)&lt;=$E29, 1, "")</f>
        <v>1</v>
      </c>
    </row>
    <row r="30" spans="2:20">
      <c r="E30" s="3"/>
    </row>
    <row r="31" spans="2:20">
      <c r="E31" s="2" t="s">
        <v>4</v>
      </c>
      <c r="F31" s="2">
        <f>F16+F17+F19+F21+F22+F23+F25+F26+F28+F29+F20</f>
        <v>90.720000000000013</v>
      </c>
    </row>
    <row r="33" ht="22.2" customHeight="1"/>
  </sheetData>
  <mergeCells count="11">
    <mergeCell ref="P25:R25"/>
    <mergeCell ref="G28:G29"/>
    <mergeCell ref="G16:G17"/>
    <mergeCell ref="G19:G23"/>
    <mergeCell ref="E9:F11"/>
    <mergeCell ref="E12:F12"/>
    <mergeCell ref="G25:G26"/>
    <mergeCell ref="B24:G24"/>
    <mergeCell ref="B27:G27"/>
    <mergeCell ref="B15:G15"/>
    <mergeCell ref="B18:G18"/>
  </mergeCells>
  <conditionalFormatting sqref="H15:H19 H21:H29">
    <cfRule type="cellIs" dxfId="30" priority="6" operator="equal">
      <formula>1</formula>
    </cfRule>
  </conditionalFormatting>
  <conditionalFormatting sqref="I15:I19 I21:I29">
    <cfRule type="cellIs" dxfId="29" priority="7" operator="equal">
      <formula>1</formula>
    </cfRule>
  </conditionalFormatting>
  <conditionalFormatting sqref="J15:J19 J21:J29">
    <cfRule type="cellIs" dxfId="28" priority="8" operator="equal">
      <formula>1</formula>
    </cfRule>
  </conditionalFormatting>
  <conditionalFormatting sqref="K15:K19 K21:K29">
    <cfRule type="cellIs" dxfId="27" priority="9" operator="equal">
      <formula>1</formula>
    </cfRule>
  </conditionalFormatting>
  <conditionalFormatting sqref="L15:L19 L21:L29">
    <cfRule type="cellIs" dxfId="26" priority="10" operator="equal">
      <formula>1</formula>
    </cfRule>
  </conditionalFormatting>
  <conditionalFormatting sqref="H20">
    <cfRule type="cellIs" dxfId="25" priority="1" operator="equal">
      <formula>1</formula>
    </cfRule>
  </conditionalFormatting>
  <conditionalFormatting sqref="I20">
    <cfRule type="cellIs" dxfId="24" priority="2" operator="equal">
      <formula>1</formula>
    </cfRule>
  </conditionalFormatting>
  <conditionalFormatting sqref="J20">
    <cfRule type="cellIs" dxfId="23" priority="3" operator="equal">
      <formula>1</formula>
    </cfRule>
  </conditionalFormatting>
  <conditionalFormatting sqref="K20">
    <cfRule type="cellIs" dxfId="22" priority="4" operator="equal">
      <formula>1</formula>
    </cfRule>
  </conditionalFormatting>
  <conditionalFormatting sqref="L20">
    <cfRule type="cellIs" dxfId="21" priority="5" operator="equal">
      <formula>1</formula>
    </cfRule>
  </conditionalFormatting>
  <dataValidations count="1">
    <dataValidation type="list" allowBlank="1" showInputMessage="1" showErrorMessage="1" sqref="D10" xr:uid="{E74CD4E8-3BE6-40BD-B343-53F19F926D05}">
      <formula1>RX3_Lista_Moleculas_Seleccionadas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0A252-C9C6-4BE1-B82C-CF383873428C}">
  <sheetPr codeName="Hoja7"/>
  <dimension ref="D5:K21"/>
  <sheetViews>
    <sheetView topLeftCell="A4" workbookViewId="0">
      <selection activeCell="D14" sqref="D14"/>
    </sheetView>
  </sheetViews>
  <sheetFormatPr baseColWidth="10" defaultRowHeight="14.4"/>
  <cols>
    <col min="1" max="3" width="11.5546875" style="4"/>
    <col min="4" max="4" width="28.33203125" style="4" customWidth="1"/>
    <col min="5" max="5" width="21.88671875" style="4" customWidth="1"/>
    <col min="6" max="6" width="27.109375" style="4" customWidth="1"/>
    <col min="7" max="7" width="21.21875" style="4" customWidth="1"/>
    <col min="8" max="8" width="22.88671875" style="4" customWidth="1"/>
    <col min="9" max="9" width="28.6640625" style="4" customWidth="1"/>
    <col min="10" max="10" width="21.21875" style="4" customWidth="1"/>
    <col min="11" max="11" width="31.44140625" style="4" customWidth="1"/>
    <col min="12" max="16384" width="11.5546875" style="4"/>
  </cols>
  <sheetData>
    <row r="5" spans="4:11" ht="28.8">
      <c r="D5" s="46" t="s">
        <v>81</v>
      </c>
      <c r="E5" s="46" t="s">
        <v>76</v>
      </c>
      <c r="F5" s="46" t="s">
        <v>10</v>
      </c>
      <c r="G5" s="46" t="s">
        <v>9</v>
      </c>
      <c r="H5" s="46" t="s">
        <v>23</v>
      </c>
      <c r="I5" s="46" t="s">
        <v>77</v>
      </c>
      <c r="J5" s="46" t="s">
        <v>78</v>
      </c>
      <c r="K5" s="46" t="s">
        <v>79</v>
      </c>
    </row>
    <row r="6" spans="4:11" ht="15.6">
      <c r="D6" s="49" t="s">
        <v>86</v>
      </c>
      <c r="E6" s="50">
        <v>100</v>
      </c>
      <c r="F6" s="50">
        <v>90.89</v>
      </c>
      <c r="G6" s="50">
        <v>54.55</v>
      </c>
      <c r="H6" s="50">
        <v>100</v>
      </c>
      <c r="I6" s="50">
        <v>90.72</v>
      </c>
      <c r="J6" s="47">
        <f>Input_costo2!O11</f>
        <v>34963713</v>
      </c>
      <c r="K6" s="48">
        <f>J6/I6</f>
        <v>385402.48015873018</v>
      </c>
    </row>
    <row r="7" spans="4:11" ht="15.6">
      <c r="D7" s="49" t="s">
        <v>82</v>
      </c>
      <c r="E7" s="50">
        <v>100</v>
      </c>
      <c r="F7" s="50">
        <v>91.79</v>
      </c>
      <c r="G7" s="50">
        <v>54.55</v>
      </c>
      <c r="H7" s="50">
        <v>100</v>
      </c>
      <c r="I7" s="50">
        <v>91</v>
      </c>
      <c r="J7" s="47">
        <f>Input_costo2!O9</f>
        <v>18057410</v>
      </c>
      <c r="K7" s="48">
        <f t="shared" ref="K7" si="0">J7/I7</f>
        <v>198433.07692307694</v>
      </c>
    </row>
    <row r="10" spans="4:11">
      <c r="D10" s="4" t="str">
        <f>[2]Matriz_Medicamentos!A1</f>
        <v>Criterio</v>
      </c>
      <c r="E10" s="49" t="s">
        <v>86</v>
      </c>
      <c r="F10" s="49" t="s">
        <v>82</v>
      </c>
      <c r="G10" s="49"/>
      <c r="H10" s="49"/>
      <c r="I10" s="49"/>
      <c r="J10" s="49"/>
      <c r="K10" s="49"/>
    </row>
    <row r="11" spans="4:11">
      <c r="D11" s="4" t="str">
        <f>[2]Matriz_Medicamentos!A2</f>
        <v>Cambio medio en la agudeza visual corregida (BCVA)</v>
      </c>
      <c r="E11" s="4" cm="1">
        <f t="array" ref="E11:E21">_xlfn.ANCHORARRAY(Matriz_Medicamentos!C2)</f>
        <v>5</v>
      </c>
      <c r="F11" s="4" cm="1">
        <f t="array" ref="F11:F21">_xlfn.ANCHORARRAY(Matriz_Medicamentos!B2)</f>
        <v>5</v>
      </c>
    </row>
    <row r="12" spans="4:11">
      <c r="D12" s="4" t="str">
        <f>[2]Matriz_Medicamentos!A3</f>
        <v>Pacientes con ganancia ≥15 letras en BCVA</v>
      </c>
      <c r="E12" s="4">
        <v>5</v>
      </c>
      <c r="F12" s="4">
        <v>5</v>
      </c>
    </row>
    <row r="13" spans="4:11">
      <c r="D13" s="4" t="str">
        <f>[2]Matriz_Medicamentos!A4</f>
        <v xml:space="preserve">Desprendimiento de retina </v>
      </c>
      <c r="E13" s="4">
        <v>5</v>
      </c>
      <c r="F13" s="4">
        <v>5</v>
      </c>
    </row>
    <row r="14" spans="4:11">
      <c r="D14" s="4" t="s">
        <v>113</v>
      </c>
      <c r="E14" s="4">
        <v>5</v>
      </c>
      <c r="F14" s="4">
        <v>5</v>
      </c>
    </row>
    <row r="15" spans="4:11">
      <c r="D15" s="4" t="str">
        <f>[2]Matriz_Medicamentos!A5</f>
        <v>Infarto agudo de miocardio</v>
      </c>
      <c r="E15" s="4">
        <v>5</v>
      </c>
      <c r="F15" s="4">
        <v>3</v>
      </c>
    </row>
    <row r="16" spans="4:11">
      <c r="D16" s="4" t="str">
        <f>[2]Matriz_Medicamentos!A6</f>
        <v>Endoftalmitis</v>
      </c>
      <c r="E16" s="4">
        <v>5</v>
      </c>
      <c r="F16" s="4">
        <v>5</v>
      </c>
    </row>
    <row r="17" spans="4:6">
      <c r="D17" s="4" t="str">
        <f>[2]Matriz_Medicamentos!A7</f>
        <v>Supresión sistémica de VEGF</v>
      </c>
      <c r="E17" s="4">
        <v>1</v>
      </c>
      <c r="F17" s="4">
        <v>5</v>
      </c>
    </row>
    <row r="18" spans="4:6">
      <c r="D18" s="4" t="str">
        <f>[2]Matriz_Medicamentos!A8</f>
        <v>Calidad de vida relacionada con la salud</v>
      </c>
      <c r="E18" s="4">
        <v>5</v>
      </c>
      <c r="F18" s="4">
        <v>5</v>
      </c>
    </row>
    <row r="19" spans="4:6">
      <c r="D19" s="4" t="str">
        <f>[2]Matriz_Medicamentos!A9</f>
        <v>Discapacidad / capacidad funcional</v>
      </c>
      <c r="E19" s="4">
        <v>0</v>
      </c>
      <c r="F19" s="4">
        <v>0</v>
      </c>
    </row>
    <row r="20" spans="4:6">
      <c r="D20" s="4" t="str">
        <f>[2]Matriz_Medicamentos!A10</f>
        <v>Estado de aprobación regulatoria</v>
      </c>
      <c r="E20" s="4">
        <v>5</v>
      </c>
      <c r="F20" s="4">
        <v>5</v>
      </c>
    </row>
    <row r="21" spans="4:6">
      <c r="D21" s="4" t="str">
        <f>[2]Matriz_Medicamentos!A11</f>
        <v>Inclusión en guías de práctica clínica</v>
      </c>
      <c r="E21" s="4">
        <v>5</v>
      </c>
      <c r="F21" s="4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9D-0D63-4AE9-BE3E-BDEC26FD2207}">
  <sheetPr codeName="Hoja8">
    <pageSetUpPr fitToPage="1"/>
  </sheetPr>
  <dimension ref="A1:AB39"/>
  <sheetViews>
    <sheetView topLeftCell="A7" zoomScale="60" zoomScaleNormal="60" workbookViewId="0">
      <selection activeCell="C33" sqref="C33"/>
    </sheetView>
  </sheetViews>
  <sheetFormatPr baseColWidth="10" defaultRowHeight="14.4"/>
  <cols>
    <col min="1" max="1" width="44.6640625" style="4" customWidth="1"/>
    <col min="2" max="2" width="20" style="4" hidden="1" customWidth="1"/>
    <col min="3" max="3" width="11.5546875" style="4"/>
    <col min="4" max="8" width="10.88671875" style="4" customWidth="1"/>
    <col min="9" max="9" width="11.33203125" style="4" hidden="1" customWidth="1"/>
    <col min="10" max="15" width="10.88671875" style="4" customWidth="1"/>
    <col min="16" max="16" width="10.88671875" style="4" hidden="1" customWidth="1"/>
    <col min="17" max="17" width="10.88671875" style="4" customWidth="1"/>
    <col min="18" max="18" width="10.88671875" style="4" hidden="1" customWidth="1"/>
    <col min="19" max="27" width="8" style="4" customWidth="1"/>
    <col min="28" max="28" width="15.33203125" style="4" bestFit="1" customWidth="1"/>
    <col min="29" max="16384" width="11.5546875" style="4"/>
  </cols>
  <sheetData>
    <row r="1" spans="1:28">
      <c r="E1" s="4">
        <v>1</v>
      </c>
      <c r="N1" s="4">
        <v>2</v>
      </c>
      <c r="AB1" s="4">
        <v>8</v>
      </c>
    </row>
    <row r="9" spans="1:28" ht="25.8" customHeight="1">
      <c r="A9" s="38" t="s">
        <v>75</v>
      </c>
      <c r="C9" s="33"/>
      <c r="D9" s="77" t="s">
        <v>86</v>
      </c>
      <c r="E9" s="77"/>
      <c r="F9" s="77"/>
      <c r="G9" s="77"/>
      <c r="H9" s="33"/>
      <c r="I9" s="33"/>
      <c r="J9" s="33"/>
      <c r="K9" s="33"/>
      <c r="L9" s="77" t="s">
        <v>82</v>
      </c>
      <c r="M9" s="77"/>
      <c r="N9" s="77"/>
      <c r="O9" s="78"/>
      <c r="P9" s="33"/>
      <c r="Q9" s="33"/>
      <c r="R9" s="40"/>
    </row>
    <row r="10" spans="1:28" s="41" customFormat="1" ht="22.2" customHeight="1"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</row>
    <row r="11" spans="1:28" s="41" customFormat="1" ht="22.2" customHeight="1">
      <c r="A11" s="38" t="s">
        <v>76</v>
      </c>
      <c r="C11" s="42"/>
      <c r="D11" s="79">
        <f>T_results!E6</f>
        <v>100</v>
      </c>
      <c r="E11" s="80"/>
      <c r="F11" s="80"/>
      <c r="G11" s="81"/>
      <c r="H11" s="42"/>
      <c r="I11" s="42"/>
      <c r="J11" s="42"/>
      <c r="K11" s="42"/>
      <c r="L11" s="82">
        <f>T_results!E7</f>
        <v>100</v>
      </c>
      <c r="M11" s="82"/>
      <c r="N11" s="82"/>
      <c r="O11" s="82"/>
      <c r="P11" s="42"/>
      <c r="Q11" s="42"/>
    </row>
    <row r="12" spans="1:28" s="41" customFormat="1" ht="4.8" customHeight="1">
      <c r="C12" s="42"/>
      <c r="D12" s="42"/>
      <c r="E12" s="42"/>
      <c r="F12" s="42"/>
      <c r="G12" s="42"/>
      <c r="H12" s="42"/>
      <c r="I12" s="42"/>
      <c r="J12" s="42"/>
      <c r="K12" s="42"/>
      <c r="L12" s="51"/>
      <c r="M12" s="51"/>
      <c r="N12" s="51"/>
      <c r="O12" s="51"/>
      <c r="P12" s="42"/>
      <c r="Q12" s="42"/>
    </row>
    <row r="13" spans="1:28" s="41" customFormat="1" ht="24.6" customHeight="1">
      <c r="A13" s="38" t="s">
        <v>10</v>
      </c>
      <c r="C13" s="42"/>
      <c r="D13" s="79">
        <f>T_results!F6</f>
        <v>90.89</v>
      </c>
      <c r="E13" s="80"/>
      <c r="F13" s="80"/>
      <c r="G13" s="81"/>
      <c r="H13" s="42"/>
      <c r="I13" s="42"/>
      <c r="J13" s="42"/>
      <c r="K13" s="42"/>
      <c r="L13" s="82">
        <f>T_results!F7</f>
        <v>91.79</v>
      </c>
      <c r="M13" s="82"/>
      <c r="N13" s="82"/>
      <c r="O13" s="82"/>
      <c r="P13" s="42"/>
      <c r="Q13" s="42"/>
    </row>
    <row r="14" spans="1:28" s="41" customFormat="1" ht="8.4" customHeight="1">
      <c r="C14" s="42"/>
      <c r="D14" s="42"/>
      <c r="E14" s="42"/>
      <c r="F14" s="42"/>
      <c r="G14" s="42"/>
      <c r="H14" s="42"/>
      <c r="I14" s="42"/>
      <c r="J14" s="42"/>
      <c r="K14" s="42"/>
      <c r="L14" s="51"/>
      <c r="M14" s="51"/>
      <c r="N14" s="51"/>
      <c r="O14" s="51"/>
      <c r="P14" s="42"/>
      <c r="Q14" s="42"/>
    </row>
    <row r="15" spans="1:28" s="41" customFormat="1" ht="22.2" customHeight="1">
      <c r="A15" s="38" t="s">
        <v>9</v>
      </c>
      <c r="C15" s="42"/>
      <c r="D15" s="79">
        <f>T_results!G6</f>
        <v>54.55</v>
      </c>
      <c r="E15" s="80"/>
      <c r="F15" s="80"/>
      <c r="G15" s="81"/>
      <c r="H15" s="42"/>
      <c r="I15" s="42"/>
      <c r="J15" s="42"/>
      <c r="K15" s="42"/>
      <c r="L15" s="82">
        <f>T_results!G7</f>
        <v>54.55</v>
      </c>
      <c r="M15" s="82"/>
      <c r="N15" s="82"/>
      <c r="O15" s="82"/>
      <c r="P15" s="42"/>
      <c r="Q15" s="42"/>
    </row>
    <row r="16" spans="1:28" s="41" customFormat="1" ht="8.4" customHeight="1">
      <c r="C16" s="42"/>
      <c r="D16" s="42"/>
      <c r="E16" s="42"/>
      <c r="F16" s="42"/>
      <c r="G16" s="42"/>
      <c r="H16" s="42"/>
      <c r="I16" s="42"/>
      <c r="J16" s="42"/>
      <c r="K16" s="42"/>
      <c r="L16" s="51"/>
      <c r="M16" s="51"/>
      <c r="N16" s="51"/>
      <c r="O16" s="51"/>
      <c r="P16" s="42"/>
      <c r="Q16" s="42"/>
    </row>
    <row r="17" spans="1:18" s="41" customFormat="1" ht="22.2" customHeight="1">
      <c r="A17" s="38" t="s">
        <v>23</v>
      </c>
      <c r="C17" s="42"/>
      <c r="D17" s="79">
        <f>T_results!H6</f>
        <v>100</v>
      </c>
      <c r="E17" s="80"/>
      <c r="F17" s="80"/>
      <c r="G17" s="81"/>
      <c r="H17" s="42"/>
      <c r="I17" s="42"/>
      <c r="J17" s="42"/>
      <c r="K17" s="42"/>
      <c r="L17" s="82">
        <f>T_results!H7</f>
        <v>100</v>
      </c>
      <c r="M17" s="82"/>
      <c r="N17" s="82"/>
      <c r="O17" s="82"/>
      <c r="P17" s="42"/>
      <c r="Q17" s="42"/>
    </row>
    <row r="18" spans="1:18" s="41" customFormat="1" ht="8.4" customHeight="1">
      <c r="C18" s="42"/>
      <c r="D18" s="42"/>
      <c r="E18" s="42"/>
      <c r="F18" s="42"/>
      <c r="G18" s="42"/>
      <c r="H18" s="42"/>
      <c r="I18" s="42"/>
      <c r="J18" s="42"/>
      <c r="K18" s="42"/>
      <c r="L18" s="51"/>
      <c r="M18" s="51"/>
      <c r="N18" s="51"/>
      <c r="O18" s="51"/>
      <c r="P18" s="42"/>
      <c r="Q18" s="42"/>
    </row>
    <row r="19" spans="1:18" s="41" customFormat="1" ht="22.2" customHeight="1">
      <c r="A19" s="38" t="s">
        <v>77</v>
      </c>
      <c r="C19" s="42"/>
      <c r="D19" s="79">
        <f>T_results!I6</f>
        <v>90.72</v>
      </c>
      <c r="E19" s="80"/>
      <c r="F19" s="80"/>
      <c r="G19" s="81"/>
      <c r="H19" s="42"/>
      <c r="I19" s="42"/>
      <c r="J19" s="42"/>
      <c r="K19" s="42"/>
      <c r="L19" s="82">
        <f>T_results!I7</f>
        <v>91</v>
      </c>
      <c r="M19" s="82"/>
      <c r="N19" s="82"/>
      <c r="O19" s="82"/>
      <c r="P19" s="42"/>
      <c r="Q19" s="42"/>
    </row>
    <row r="20" spans="1:18" s="41" customFormat="1" ht="8.4" customHeight="1">
      <c r="C20" s="42"/>
      <c r="D20" s="42"/>
      <c r="E20" s="42"/>
      <c r="F20" s="42"/>
      <c r="G20" s="42"/>
      <c r="H20" s="42"/>
      <c r="I20" s="42"/>
      <c r="J20" s="42"/>
      <c r="K20" s="42"/>
      <c r="L20" s="51"/>
      <c r="M20" s="51"/>
      <c r="N20" s="51"/>
      <c r="O20" s="51"/>
      <c r="P20" s="42"/>
      <c r="Q20" s="42"/>
    </row>
    <row r="21" spans="1:18" s="41" customFormat="1" ht="22.2" customHeight="1">
      <c r="A21" s="38" t="s">
        <v>78</v>
      </c>
      <c r="C21" s="42"/>
      <c r="D21" s="86">
        <f>T_results!J6</f>
        <v>34963713</v>
      </c>
      <c r="E21" s="87"/>
      <c r="F21" s="87"/>
      <c r="G21" s="88"/>
      <c r="H21" s="42"/>
      <c r="I21" s="42"/>
      <c r="J21" s="42"/>
      <c r="K21" s="42"/>
      <c r="L21" s="84">
        <f>T_results!J7</f>
        <v>18057410</v>
      </c>
      <c r="M21" s="83"/>
      <c r="N21" s="83"/>
      <c r="O21" s="85"/>
      <c r="P21" s="42"/>
      <c r="Q21" s="42"/>
    </row>
    <row r="22" spans="1:18" s="41" customFormat="1" ht="8.4" customHeight="1">
      <c r="C22" s="42"/>
      <c r="D22" s="42"/>
      <c r="E22" s="51"/>
      <c r="F22" s="51"/>
      <c r="G22" s="42"/>
      <c r="H22" s="42"/>
      <c r="I22" s="42"/>
      <c r="J22" s="42"/>
      <c r="K22" s="42"/>
      <c r="L22" s="51"/>
      <c r="M22" s="51"/>
      <c r="N22" s="51"/>
      <c r="O22" s="51"/>
      <c r="P22" s="42"/>
      <c r="Q22" s="42"/>
    </row>
    <row r="23" spans="1:18" s="41" customFormat="1" ht="22.2" customHeight="1">
      <c r="A23" s="38" t="s">
        <v>79</v>
      </c>
      <c r="C23" s="42"/>
      <c r="D23" s="43"/>
      <c r="E23" s="83">
        <f>T_results!K6</f>
        <v>385402.48015873018</v>
      </c>
      <c r="F23" s="83"/>
      <c r="G23" s="44"/>
      <c r="H23" s="42"/>
      <c r="I23" s="42"/>
      <c r="J23" s="42"/>
      <c r="K23" s="42"/>
      <c r="L23" s="84">
        <f>T_results!K7</f>
        <v>198433.07692307694</v>
      </c>
      <c r="M23" s="83"/>
      <c r="N23" s="83"/>
      <c r="O23" s="85"/>
      <c r="P23" s="42"/>
      <c r="Q23" s="42"/>
    </row>
    <row r="24" spans="1:18" ht="20.399999999999999"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</row>
    <row r="25" spans="1:18" ht="20.399999999999999"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</row>
    <row r="26" spans="1:18" ht="20.399999999999999">
      <c r="A26" s="39"/>
    </row>
    <row r="27" spans="1:18" ht="20.399999999999999">
      <c r="A27" s="38" t="s">
        <v>80</v>
      </c>
      <c r="D27" s="6">
        <v>1</v>
      </c>
      <c r="E27" s="6">
        <v>2</v>
      </c>
      <c r="F27" s="6">
        <v>3</v>
      </c>
      <c r="G27" s="6">
        <v>4</v>
      </c>
      <c r="H27" s="6">
        <v>5</v>
      </c>
      <c r="K27" s="6">
        <v>1</v>
      </c>
      <c r="L27" s="6">
        <v>2</v>
      </c>
      <c r="M27" s="6">
        <v>3</v>
      </c>
      <c r="N27" s="6">
        <v>4</v>
      </c>
      <c r="O27" s="6">
        <v>5</v>
      </c>
    </row>
    <row r="28" spans="1:18" ht="40.200000000000003" thickBot="1">
      <c r="A28" s="45" t="s">
        <v>15</v>
      </c>
      <c r="B28" s="4" cm="1">
        <f t="array" ref="B28:B38">_xlfn.ANCHORARRAY(T_results!E11)</f>
        <v>5</v>
      </c>
      <c r="D28" s="10">
        <f>IF(COLUMNS(D28:$D28)&lt;=$B28, 1, "")</f>
        <v>1</v>
      </c>
      <c r="E28" s="10">
        <f>IF(COLUMNS($D28:E28)&lt;=$B28, 1, "")</f>
        <v>1</v>
      </c>
      <c r="F28" s="10">
        <f>IF(COLUMNS($D28:F28)&lt;=$B28, 1, "")</f>
        <v>1</v>
      </c>
      <c r="G28" s="10">
        <f>IF(COLUMNS($D28:G28)&lt;=$B28, 1, "")</f>
        <v>1</v>
      </c>
      <c r="H28" s="10">
        <f>IF(COLUMNS($D28:H28)&lt;=$B28, 1, "")</f>
        <v>1</v>
      </c>
      <c r="I28" s="4" cm="1">
        <f t="array" ref="I28:I38">_xlfn.ANCHORARRAY(T_results!F11)</f>
        <v>5</v>
      </c>
      <c r="K28" s="10">
        <f>IF(COLUMNS($K28:K28)&lt;=$I28, 1, "")</f>
        <v>1</v>
      </c>
      <c r="L28" s="10">
        <f>IF(COLUMNS($K28:L28)&lt;=$I28, 1, "")</f>
        <v>1</v>
      </c>
      <c r="M28" s="10">
        <f>IF(COLUMNS($K28:M28)&lt;=$I28, 1, "")</f>
        <v>1</v>
      </c>
      <c r="N28" s="10">
        <f>IF(COLUMNS($K28:N28)&lt;=$I28, 1, "")</f>
        <v>1</v>
      </c>
      <c r="O28" s="10">
        <f>IF(COLUMNS($K28:O28)&lt;=$I28, 1, "")</f>
        <v>1</v>
      </c>
      <c r="P28" s="4" cm="1">
        <f t="array" ref="P28:P38">T_results!G11:G21</f>
        <v>0</v>
      </c>
      <c r="R28" s="4" cm="1">
        <f t="array" ref="R28:R38">T_results!L11:L21</f>
        <v>0</v>
      </c>
    </row>
    <row r="29" spans="1:18" ht="21.6" thickTop="1" thickBot="1">
      <c r="A29" s="45" t="s">
        <v>16</v>
      </c>
      <c r="B29" s="4">
        <v>5</v>
      </c>
      <c r="D29" s="10">
        <f>IF(COLUMNS(D29:$D29)&lt;=$B29, 1, "")</f>
        <v>1</v>
      </c>
      <c r="E29" s="10">
        <f>IF(COLUMNS($D29:E29)&lt;=$B29, 1, "")</f>
        <v>1</v>
      </c>
      <c r="F29" s="10">
        <f>IF(COLUMNS($D29:F29)&lt;=$B29, 1, "")</f>
        <v>1</v>
      </c>
      <c r="G29" s="10">
        <f>IF(COLUMNS($D29:G29)&lt;=$B29, 1, "")</f>
        <v>1</v>
      </c>
      <c r="H29" s="10">
        <f>IF(COLUMNS($D29:H29)&lt;=$B29, 1, "")</f>
        <v>1</v>
      </c>
      <c r="I29" s="4">
        <v>5</v>
      </c>
      <c r="K29" s="10">
        <f>IF(COLUMNS($K29:K29)&lt;=$I29, 1, "")</f>
        <v>1</v>
      </c>
      <c r="L29" s="10">
        <f>IF(COLUMNS($K29:L29)&lt;=$I29, 1, "")</f>
        <v>1</v>
      </c>
      <c r="M29" s="10">
        <f>IF(COLUMNS($K29:M29)&lt;=$I29, 1, "")</f>
        <v>1</v>
      </c>
      <c r="N29" s="10">
        <f>IF(COLUMNS($K29:N29)&lt;=$I29, 1, "")</f>
        <v>1</v>
      </c>
      <c r="O29" s="10">
        <f>IF(COLUMNS($K29:O29)&lt;=$I29, 1, "")</f>
        <v>1</v>
      </c>
      <c r="P29" s="4">
        <v>0</v>
      </c>
      <c r="R29" s="4">
        <v>0</v>
      </c>
    </row>
    <row r="30" spans="1:18" ht="21.6" thickTop="1" thickBot="1">
      <c r="A30" s="45" t="s">
        <v>17</v>
      </c>
      <c r="B30" s="4">
        <v>5</v>
      </c>
      <c r="D30" s="10">
        <f>IF(COLUMNS(D30:$D30)&lt;=$B30, 1, "")</f>
        <v>1</v>
      </c>
      <c r="E30" s="10">
        <f>IF(COLUMNS($D30:E30)&lt;=$B30, 1, "")</f>
        <v>1</v>
      </c>
      <c r="F30" s="10">
        <f>IF(COLUMNS($D30:F30)&lt;=$B30, 1, "")</f>
        <v>1</v>
      </c>
      <c r="G30" s="10">
        <f>IF(COLUMNS($D30:G30)&lt;=$B30, 1, "")</f>
        <v>1</v>
      </c>
      <c r="H30" s="10">
        <f>IF(COLUMNS($D30:H30)&lt;=$B30, 1, "")</f>
        <v>1</v>
      </c>
      <c r="I30" s="4">
        <v>5</v>
      </c>
      <c r="K30" s="10">
        <f>IF(COLUMNS($K30:K30)&lt;=$I30, 1, "")</f>
        <v>1</v>
      </c>
      <c r="L30" s="10">
        <f>IF(COLUMNS($K30:L30)&lt;=$I30, 1, "")</f>
        <v>1</v>
      </c>
      <c r="M30" s="10">
        <f>IF(COLUMNS($K30:M30)&lt;=$I30, 1, "")</f>
        <v>1</v>
      </c>
      <c r="N30" s="10">
        <f>IF(COLUMNS($K30:N30)&lt;=$I30, 1, "")</f>
        <v>1</v>
      </c>
      <c r="O30" s="10">
        <f>IF(COLUMNS($K30:O30)&lt;=$I30, 1, "")</f>
        <v>1</v>
      </c>
      <c r="P30" s="4">
        <v>0</v>
      </c>
      <c r="R30" s="4">
        <v>0</v>
      </c>
    </row>
    <row r="31" spans="1:18" ht="21.6" thickTop="1" thickBot="1">
      <c r="A31" s="45" t="s">
        <v>113</v>
      </c>
      <c r="B31" s="4">
        <v>5</v>
      </c>
      <c r="D31" s="10">
        <f>IF(COLUMNS(D31:$D31)&lt;=$B31, 1, "")</f>
        <v>1</v>
      </c>
      <c r="E31" s="10">
        <f>IF(COLUMNS($D31:E31)&lt;=$B31, 1, "")</f>
        <v>1</v>
      </c>
      <c r="F31" s="10">
        <f>IF(COLUMNS($D31:F31)&lt;=$B31, 1, "")</f>
        <v>1</v>
      </c>
      <c r="G31" s="10">
        <f>IF(COLUMNS($D31:G31)&lt;=$B31, 1, "")</f>
        <v>1</v>
      </c>
      <c r="H31" s="10">
        <f>IF(COLUMNS($D31:H31)&lt;=$B31, 1, "")</f>
        <v>1</v>
      </c>
      <c r="I31" s="4">
        <v>5</v>
      </c>
      <c r="K31" s="10">
        <f>IF(COLUMNS($K31:K31)&lt;=$I31, 1, "")</f>
        <v>1</v>
      </c>
      <c r="L31" s="10">
        <f>IF(COLUMNS($K31:L31)&lt;=$I31, 1, "")</f>
        <v>1</v>
      </c>
      <c r="M31" s="10">
        <f>IF(COLUMNS($K31:M31)&lt;=$I31, 1, "")</f>
        <v>1</v>
      </c>
      <c r="N31" s="10">
        <f>IF(COLUMNS($K31:N31)&lt;=$I31, 1, "")</f>
        <v>1</v>
      </c>
      <c r="O31" s="10">
        <f>IF(COLUMNS($K31:O31)&lt;=$I31, 1, "")</f>
        <v>1</v>
      </c>
      <c r="P31" s="4">
        <v>0</v>
      </c>
      <c r="R31" s="4">
        <v>0</v>
      </c>
    </row>
    <row r="32" spans="1:18" ht="21.6" thickTop="1" thickBot="1">
      <c r="A32" s="45" t="s">
        <v>19</v>
      </c>
      <c r="B32" s="4">
        <v>5</v>
      </c>
      <c r="D32" s="10">
        <f>IF(COLUMNS(D32:$D32)&lt;=$B32, 1, "")</f>
        <v>1</v>
      </c>
      <c r="E32" s="10">
        <f>IF(COLUMNS($D32:E32)&lt;=$B32, 1, "")</f>
        <v>1</v>
      </c>
      <c r="F32" s="10">
        <f>IF(COLUMNS($D32:F32)&lt;=$B32, 1, "")</f>
        <v>1</v>
      </c>
      <c r="G32" s="10">
        <f>IF(COLUMNS($D32:G32)&lt;=$B32, 1, "")</f>
        <v>1</v>
      </c>
      <c r="H32" s="10">
        <f>IF(COLUMNS($D32:H32)&lt;=$B32, 1, "")</f>
        <v>1</v>
      </c>
      <c r="I32" s="4">
        <v>3</v>
      </c>
      <c r="K32" s="10">
        <f>IF(COLUMNS($K32:K32)&lt;=$I32, 1, "")</f>
        <v>1</v>
      </c>
      <c r="L32" s="10">
        <f>IF(COLUMNS($K32:L32)&lt;=$I32, 1, "")</f>
        <v>1</v>
      </c>
      <c r="M32" s="10">
        <f>IF(COLUMNS($K32:M32)&lt;=$I32, 1, "")</f>
        <v>1</v>
      </c>
      <c r="N32" s="10" t="str">
        <f>IF(COLUMNS($K32:N32)&lt;=$I32, 1, "")</f>
        <v/>
      </c>
      <c r="O32" s="10" t="str">
        <f>IF(COLUMNS($K32:O32)&lt;=$I32, 1, "")</f>
        <v/>
      </c>
      <c r="P32" s="4">
        <v>0</v>
      </c>
      <c r="R32" s="4">
        <v>0</v>
      </c>
    </row>
    <row r="33" spans="1:18" ht="21.6" thickTop="1" thickBot="1">
      <c r="A33" s="45" t="s">
        <v>118</v>
      </c>
      <c r="B33" s="4">
        <v>5</v>
      </c>
      <c r="D33" s="10">
        <f>IF(COLUMNS(D33:$D33)&lt;=$B33, 1, "")</f>
        <v>1</v>
      </c>
      <c r="E33" s="10">
        <f>IF(COLUMNS($D33:E33)&lt;=$B33, 1, "")</f>
        <v>1</v>
      </c>
      <c r="F33" s="10">
        <f>IF(COLUMNS($D33:F33)&lt;=$B33, 1, "")</f>
        <v>1</v>
      </c>
      <c r="G33" s="10">
        <f>IF(COLUMNS($D33:G33)&lt;=$B33, 1, "")</f>
        <v>1</v>
      </c>
      <c r="H33" s="10">
        <f>IF(COLUMNS($D33:H33)&lt;=$B33, 1, "")</f>
        <v>1</v>
      </c>
      <c r="I33" s="4">
        <v>5</v>
      </c>
      <c r="K33" s="10">
        <f>IF(COLUMNS($K33:K33)&lt;=$I33, 1, "")</f>
        <v>1</v>
      </c>
      <c r="L33" s="10">
        <f>IF(COLUMNS($K33:L33)&lt;=$I33, 1, "")</f>
        <v>1</v>
      </c>
      <c r="M33" s="10">
        <f>IF(COLUMNS($K33:M33)&lt;=$I33, 1, "")</f>
        <v>1</v>
      </c>
      <c r="N33" s="10">
        <f>IF(COLUMNS($K33:N33)&lt;=$I33, 1, "")</f>
        <v>1</v>
      </c>
      <c r="O33" s="10">
        <f>IF(COLUMNS($K33:O33)&lt;=$I33, 1, "")</f>
        <v>1</v>
      </c>
      <c r="P33" s="4">
        <v>0</v>
      </c>
      <c r="R33" s="4">
        <v>0</v>
      </c>
    </row>
    <row r="34" spans="1:18" ht="21.6" thickTop="1" thickBot="1">
      <c r="A34" s="45" t="s">
        <v>20</v>
      </c>
      <c r="B34" s="4">
        <v>1</v>
      </c>
      <c r="D34" s="10">
        <f>IF(COLUMNS(D34:$D34)&lt;=$B34, 1, "")</f>
        <v>1</v>
      </c>
      <c r="E34" s="10" t="str">
        <f>IF(COLUMNS($D34:E34)&lt;=$B34, 1, "")</f>
        <v/>
      </c>
      <c r="F34" s="10" t="str">
        <f>IF(COLUMNS($D34:F34)&lt;=$B34, 1, "")</f>
        <v/>
      </c>
      <c r="G34" s="10" t="str">
        <f>IF(COLUMNS($D34:G34)&lt;=$B34, 1, "")</f>
        <v/>
      </c>
      <c r="H34" s="10" t="str">
        <f>IF(COLUMNS($D34:H34)&lt;=$B34, 1, "")</f>
        <v/>
      </c>
      <c r="I34" s="4">
        <v>5</v>
      </c>
      <c r="K34" s="10">
        <f>IF(COLUMNS($K34:K34)&lt;=$I34, 1, "")</f>
        <v>1</v>
      </c>
      <c r="L34" s="10">
        <f>IF(COLUMNS($K34:L34)&lt;=$I34, 1, "")</f>
        <v>1</v>
      </c>
      <c r="M34" s="10">
        <f>IF(COLUMNS($K34:M34)&lt;=$I34, 1, "")</f>
        <v>1</v>
      </c>
      <c r="N34" s="10">
        <f>IF(COLUMNS($K34:N34)&lt;=$I34, 1, "")</f>
        <v>1</v>
      </c>
      <c r="O34" s="10">
        <f>IF(COLUMNS($K34:O34)&lt;=$I34, 1, "")</f>
        <v>1</v>
      </c>
      <c r="P34" s="4">
        <v>0</v>
      </c>
      <c r="R34" s="4">
        <v>0</v>
      </c>
    </row>
    <row r="35" spans="1:18" ht="21.6" thickTop="1" thickBot="1">
      <c r="A35" s="45" t="s">
        <v>21</v>
      </c>
      <c r="B35" s="4">
        <v>5</v>
      </c>
      <c r="D35" s="10">
        <f>IF(COLUMNS(D35:$D35)&lt;=$B35, 1, "")</f>
        <v>1</v>
      </c>
      <c r="E35" s="10">
        <f>IF(COLUMNS($D35:E35)&lt;=$B35, 1, "")</f>
        <v>1</v>
      </c>
      <c r="F35" s="10">
        <f>IF(COLUMNS($D35:F35)&lt;=$B35, 1, "")</f>
        <v>1</v>
      </c>
      <c r="G35" s="10">
        <f>IF(COLUMNS($D35:G35)&lt;=$B35, 1, "")</f>
        <v>1</v>
      </c>
      <c r="H35" s="10">
        <f>IF(COLUMNS($D35:H35)&lt;=$B35, 1, "")</f>
        <v>1</v>
      </c>
      <c r="I35" s="4">
        <v>5</v>
      </c>
      <c r="K35" s="10">
        <f>IF(COLUMNS($K35:K35)&lt;=$I35, 1, "")</f>
        <v>1</v>
      </c>
      <c r="L35" s="10">
        <f>IF(COLUMNS($K35:L35)&lt;=$I35, 1, "")</f>
        <v>1</v>
      </c>
      <c r="M35" s="10">
        <f>IF(COLUMNS($K35:M35)&lt;=$I35, 1, "")</f>
        <v>1</v>
      </c>
      <c r="N35" s="10">
        <f>IF(COLUMNS($K35:N35)&lt;=$I35, 1, "")</f>
        <v>1</v>
      </c>
      <c r="O35" s="10">
        <f>IF(COLUMNS($K35:O35)&lt;=$I35, 1, "")</f>
        <v>1</v>
      </c>
      <c r="P35" s="4">
        <v>0</v>
      </c>
      <c r="R35" s="4">
        <v>0</v>
      </c>
    </row>
    <row r="36" spans="1:18" ht="21.6" thickTop="1" thickBot="1">
      <c r="A36" s="45" t="s">
        <v>22</v>
      </c>
      <c r="B36" s="4">
        <v>0</v>
      </c>
      <c r="D36" s="10" t="str">
        <f>IF(COLUMNS(D36:$D36)&lt;=$B36, 1, "")</f>
        <v/>
      </c>
      <c r="E36" s="10" t="str">
        <f>IF(COLUMNS($D36:E36)&lt;=$B36, 1, "")</f>
        <v/>
      </c>
      <c r="F36" s="10" t="str">
        <f>IF(COLUMNS($D36:F36)&lt;=$B36, 1, "")</f>
        <v/>
      </c>
      <c r="G36" s="10" t="str">
        <f>IF(COLUMNS($D36:G36)&lt;=$B36, 1, "")</f>
        <v/>
      </c>
      <c r="H36" s="10" t="str">
        <f>IF(COLUMNS($D36:H36)&lt;=$B36, 1, "")</f>
        <v/>
      </c>
      <c r="I36" s="4">
        <v>0</v>
      </c>
      <c r="K36" s="10" t="str">
        <f>IF(COLUMNS($K36:K36)&lt;=$I36, 1, "")</f>
        <v/>
      </c>
      <c r="L36" s="10" t="str">
        <f>IF(COLUMNS($K36:L36)&lt;=$I36, 1, "")</f>
        <v/>
      </c>
      <c r="M36" s="10" t="str">
        <f>IF(COLUMNS($K36:M36)&lt;=$I36, 1, "")</f>
        <v/>
      </c>
      <c r="N36" s="10" t="str">
        <f>IF(COLUMNS($K36:N36)&lt;=$I36, 1, "")</f>
        <v/>
      </c>
      <c r="O36" s="10" t="str">
        <f>IF(COLUMNS($K36:O36)&lt;=$I36, 1, "")</f>
        <v/>
      </c>
      <c r="P36" s="4">
        <v>0</v>
      </c>
      <c r="R36" s="4">
        <v>0</v>
      </c>
    </row>
    <row r="37" spans="1:18" ht="21.6" thickTop="1" thickBot="1">
      <c r="A37" s="45" t="s">
        <v>24</v>
      </c>
      <c r="B37" s="4">
        <v>5</v>
      </c>
      <c r="D37" s="10">
        <f>IF(COLUMNS(D37:$D37)&lt;=$B37, 1, "")</f>
        <v>1</v>
      </c>
      <c r="E37" s="10">
        <f>IF(COLUMNS($D37:E37)&lt;=$B37, 1, "")</f>
        <v>1</v>
      </c>
      <c r="F37" s="10">
        <f>IF(COLUMNS($D37:F37)&lt;=$B37, 1, "")</f>
        <v>1</v>
      </c>
      <c r="G37" s="10">
        <f>IF(COLUMNS($D37:G37)&lt;=$B37, 1, "")</f>
        <v>1</v>
      </c>
      <c r="H37" s="10">
        <f>IF(COLUMNS($D37:H37)&lt;=$B37, 1, "")</f>
        <v>1</v>
      </c>
      <c r="I37" s="4">
        <v>5</v>
      </c>
      <c r="K37" s="10">
        <f>IF(COLUMNS($K37:K37)&lt;=$I37, 1, "")</f>
        <v>1</v>
      </c>
      <c r="L37" s="10">
        <f>IF(COLUMNS($K37:L37)&lt;=$I37, 1, "")</f>
        <v>1</v>
      </c>
      <c r="M37" s="10">
        <f>IF(COLUMNS($K37:M37)&lt;=$I37, 1, "")</f>
        <v>1</v>
      </c>
      <c r="N37" s="10">
        <f>IF(COLUMNS($K37:N37)&lt;=$I37, 1, "")</f>
        <v>1</v>
      </c>
      <c r="O37" s="10">
        <f>IF(COLUMNS($K37:O37)&lt;=$I37, 1, "")</f>
        <v>1</v>
      </c>
      <c r="P37" s="4">
        <v>0</v>
      </c>
      <c r="R37" s="4">
        <v>0</v>
      </c>
    </row>
    <row r="38" spans="1:18" ht="21.6" thickTop="1" thickBot="1">
      <c r="A38" s="45" t="s">
        <v>25</v>
      </c>
      <c r="B38" s="4">
        <v>5</v>
      </c>
      <c r="D38" s="10">
        <f>IF(COLUMNS(D38:$D38)&lt;=$B38, 1, "")</f>
        <v>1</v>
      </c>
      <c r="E38" s="10">
        <f>IF(COLUMNS($D38:E38)&lt;=$B38, 1, "")</f>
        <v>1</v>
      </c>
      <c r="F38" s="10">
        <f>IF(COLUMNS($D38:F38)&lt;=$B38, 1, "")</f>
        <v>1</v>
      </c>
      <c r="G38" s="10">
        <f>IF(COLUMNS($D38:G38)&lt;=$B38, 1, "")</f>
        <v>1</v>
      </c>
      <c r="H38" s="10">
        <f>IF(COLUMNS($D38:H38)&lt;=$B38, 1, "")</f>
        <v>1</v>
      </c>
      <c r="I38" s="4">
        <v>5</v>
      </c>
      <c r="K38" s="10">
        <f>IF(COLUMNS($K38:K38)&lt;=$I38, 1, "")</f>
        <v>1</v>
      </c>
      <c r="L38" s="10">
        <f>IF(COLUMNS($K38:L38)&lt;=$I38, 1, "")</f>
        <v>1</v>
      </c>
      <c r="M38" s="10">
        <f>IF(COLUMNS($K38:M38)&lt;=$I38, 1, "")</f>
        <v>1</v>
      </c>
      <c r="N38" s="10">
        <f>IF(COLUMNS($K38:N38)&lt;=$I38, 1, "")</f>
        <v>1</v>
      </c>
      <c r="O38" s="10">
        <f>IF(COLUMNS($K38:O38)&lt;=$I38, 1, "")</f>
        <v>1</v>
      </c>
      <c r="P38" s="4">
        <v>0</v>
      </c>
      <c r="R38" s="4">
        <v>0</v>
      </c>
    </row>
    <row r="39" spans="1:18" ht="15" thickTop="1"/>
  </sheetData>
  <mergeCells count="16">
    <mergeCell ref="D19:G19"/>
    <mergeCell ref="L19:O19"/>
    <mergeCell ref="D17:G17"/>
    <mergeCell ref="L17:O17"/>
    <mergeCell ref="E23:F23"/>
    <mergeCell ref="L23:O23"/>
    <mergeCell ref="D21:G21"/>
    <mergeCell ref="L21:O21"/>
    <mergeCell ref="D9:G9"/>
    <mergeCell ref="L9:O9"/>
    <mergeCell ref="D11:G11"/>
    <mergeCell ref="L11:O11"/>
    <mergeCell ref="D15:G15"/>
    <mergeCell ref="L15:O15"/>
    <mergeCell ref="D13:G13"/>
    <mergeCell ref="L13:O13"/>
  </mergeCells>
  <conditionalFormatting sqref="D28:D38">
    <cfRule type="cellIs" dxfId="20" priority="78" operator="equal">
      <formula>1</formula>
    </cfRule>
  </conditionalFormatting>
  <conditionalFormatting sqref="D28:H38">
    <cfRule type="cellIs" dxfId="19" priority="83" operator="equal">
      <formula>1</formula>
    </cfRule>
  </conditionalFormatting>
  <conditionalFormatting sqref="E28:E38">
    <cfRule type="cellIs" dxfId="18" priority="79" operator="equal">
      <formula>1</formula>
    </cfRule>
  </conditionalFormatting>
  <conditionalFormatting sqref="E29">
    <cfRule type="cellIs" dxfId="17" priority="84" operator="equal">
      <formula>1</formula>
    </cfRule>
  </conditionalFormatting>
  <conditionalFormatting sqref="F28:F38">
    <cfRule type="cellIs" dxfId="16" priority="80" operator="equal">
      <formula>1</formula>
    </cfRule>
  </conditionalFormatting>
  <conditionalFormatting sqref="F29">
    <cfRule type="cellIs" dxfId="15" priority="85" operator="equal">
      <formula>1</formula>
    </cfRule>
  </conditionalFormatting>
  <conditionalFormatting sqref="G28:G38">
    <cfRule type="cellIs" dxfId="14" priority="81" operator="equal">
      <formula>1</formula>
    </cfRule>
  </conditionalFormatting>
  <conditionalFormatting sqref="G29">
    <cfRule type="cellIs" dxfId="13" priority="86" operator="equal">
      <formula>1</formula>
    </cfRule>
  </conditionalFormatting>
  <conditionalFormatting sqref="H28:H38">
    <cfRule type="cellIs" dxfId="12" priority="82" operator="equal">
      <formula>1</formula>
    </cfRule>
  </conditionalFormatting>
  <conditionalFormatting sqref="H29">
    <cfRule type="cellIs" dxfId="11" priority="87" operator="equal">
      <formula>1</formula>
    </cfRule>
  </conditionalFormatting>
  <conditionalFormatting sqref="K28">
    <cfRule type="cellIs" dxfId="10" priority="67" operator="equal">
      <formula>1</formula>
    </cfRule>
  </conditionalFormatting>
  <conditionalFormatting sqref="K35:K38">
    <cfRule type="cellIs" dxfId="9" priority="72" operator="equal">
      <formula>1</formula>
    </cfRule>
  </conditionalFormatting>
  <conditionalFormatting sqref="K28:O38">
    <cfRule type="cellIs" dxfId="8" priority="73" operator="equal">
      <formula>1</formula>
    </cfRule>
  </conditionalFormatting>
  <conditionalFormatting sqref="L28:L38">
    <cfRule type="cellIs" dxfId="7" priority="68" operator="equal">
      <formula>1</formula>
    </cfRule>
  </conditionalFormatting>
  <conditionalFormatting sqref="L29">
    <cfRule type="cellIs" dxfId="6" priority="74" operator="equal">
      <formula>1</formula>
    </cfRule>
  </conditionalFormatting>
  <conditionalFormatting sqref="M28:M38">
    <cfRule type="cellIs" dxfId="5" priority="69" operator="equal">
      <formula>1</formula>
    </cfRule>
  </conditionalFormatting>
  <conditionalFormatting sqref="M29">
    <cfRule type="cellIs" dxfId="4" priority="75" operator="equal">
      <formula>1</formula>
    </cfRule>
  </conditionalFormatting>
  <conditionalFormatting sqref="N28:N38">
    <cfRule type="cellIs" dxfId="3" priority="70" operator="equal">
      <formula>1</formula>
    </cfRule>
  </conditionalFormatting>
  <conditionalFormatting sqref="N29">
    <cfRule type="cellIs" dxfId="2" priority="76" operator="equal">
      <formula>1</formula>
    </cfRule>
  </conditionalFormatting>
  <conditionalFormatting sqref="O28:O38">
    <cfRule type="cellIs" dxfId="1" priority="71" operator="equal">
      <formula>1</formula>
    </cfRule>
  </conditionalFormatting>
  <conditionalFormatting sqref="O29">
    <cfRule type="cellIs" dxfId="0" priority="77" operator="equal">
      <formula>1</formula>
    </cfRule>
  </conditionalFormatting>
  <printOptions horizontalCentered="1"/>
  <pageMargins left="0.7" right="0.7" top="0.75" bottom="0.75" header="0.3" footer="0.3"/>
  <pageSetup paperSize="9" scale="4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rimirResumenMoleculasSeleccionadas">
                <anchor moveWithCells="1" sizeWithCells="1">
                  <from>
                    <xdr:col>0</xdr:col>
                    <xdr:colOff>53340</xdr:colOff>
                    <xdr:row>40</xdr:row>
                    <xdr:rowOff>152400</xdr:rowOff>
                  </from>
                  <to>
                    <xdr:col>0</xdr:col>
                    <xdr:colOff>2758440</xdr:colOff>
                    <xdr:row>43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0A167-3832-4A1E-B460-7DDA7453E25A}">
  <sheetPr codeName="Hoja4"/>
  <dimension ref="C7:O17"/>
  <sheetViews>
    <sheetView zoomScale="70" zoomScaleNormal="70" workbookViewId="0">
      <selection activeCell="I15" sqref="I15"/>
    </sheetView>
  </sheetViews>
  <sheetFormatPr baseColWidth="10" defaultRowHeight="14.4"/>
  <cols>
    <col min="1" max="2" width="11.5546875" style="54"/>
    <col min="3" max="3" width="30.6640625" style="54" customWidth="1"/>
    <col min="4" max="4" width="11.5546875" style="54"/>
    <col min="5" max="5" width="27.77734375" style="54" customWidth="1"/>
    <col min="6" max="6" width="11.5546875" style="54"/>
    <col min="7" max="7" width="19.88671875" style="54" customWidth="1"/>
    <col min="8" max="8" width="11.5546875" style="54"/>
    <col min="9" max="9" width="22.33203125" style="54" customWidth="1"/>
    <col min="10" max="10" width="11.5546875" style="54"/>
    <col min="11" max="11" width="21.44140625" style="54" customWidth="1"/>
    <col min="12" max="12" width="11.5546875" style="54"/>
    <col min="13" max="13" width="22.44140625" style="54" customWidth="1"/>
    <col min="14" max="14" width="11.5546875" style="54"/>
    <col min="15" max="15" width="21.77734375" style="54" customWidth="1"/>
    <col min="16" max="16384" width="11.5546875" style="54"/>
  </cols>
  <sheetData>
    <row r="7" spans="3:15" ht="40.799999999999997">
      <c r="C7" s="53" t="s">
        <v>49</v>
      </c>
      <c r="E7" s="55" t="s">
        <v>71</v>
      </c>
      <c r="G7" s="56" t="s">
        <v>73</v>
      </c>
      <c r="I7" s="16" t="s">
        <v>50</v>
      </c>
      <c r="K7" s="56" t="s">
        <v>72</v>
      </c>
      <c r="M7" s="16" t="s">
        <v>51</v>
      </c>
      <c r="O7" s="16" t="s">
        <v>52</v>
      </c>
    </row>
    <row r="8" spans="3:15">
      <c r="I8" s="4"/>
      <c r="M8" s="4"/>
      <c r="O8" s="4"/>
    </row>
    <row r="9" spans="3:15" ht="15.6">
      <c r="C9" s="57" t="s">
        <v>82</v>
      </c>
      <c r="E9" s="57">
        <v>5</v>
      </c>
      <c r="G9" s="58">
        <v>1653503</v>
      </c>
      <c r="I9" s="64">
        <f>E9*G9*(1-'Modelo de valor'!O15)</f>
        <v>8267515</v>
      </c>
      <c r="K9" s="59">
        <v>1957979</v>
      </c>
      <c r="M9" s="64">
        <f>E9*K9</f>
        <v>9789895</v>
      </c>
      <c r="O9" s="64">
        <f>I9+M9</f>
        <v>18057410</v>
      </c>
    </row>
    <row r="10" spans="3:15" ht="15.6">
      <c r="C10" s="60"/>
      <c r="I10" s="4"/>
      <c r="M10" s="4"/>
      <c r="O10" s="4"/>
    </row>
    <row r="11" spans="3:15" ht="15.6">
      <c r="C11" s="57" t="s">
        <v>86</v>
      </c>
      <c r="E11" s="57">
        <v>9</v>
      </c>
      <c r="G11" s="58">
        <v>1926878</v>
      </c>
      <c r="I11" s="64">
        <f>E11*G11</f>
        <v>17341902</v>
      </c>
      <c r="K11" s="59">
        <v>1957979</v>
      </c>
      <c r="M11" s="64">
        <f>E11*K11</f>
        <v>17621811</v>
      </c>
      <c r="O11" s="64">
        <f>I11+M11</f>
        <v>34963713</v>
      </c>
    </row>
    <row r="12" spans="3:15" ht="15.6">
      <c r="C12" s="60"/>
    </row>
    <row r="13" spans="3:15" ht="15.6">
      <c r="C13" s="61"/>
    </row>
    <row r="16" spans="3:15" ht="20.399999999999999">
      <c r="C16" s="62" t="s">
        <v>53</v>
      </c>
    </row>
    <row r="17" spans="3:4" ht="20.399999999999999">
      <c r="C17" s="63"/>
      <c r="D17" s="54" t="s">
        <v>74</v>
      </c>
    </row>
  </sheetData>
  <sheetProtection selectLockedCell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82AAE-4948-4B9B-9D7A-EE1F87AB841E}">
  <sheetPr codeName="Hoja5"/>
  <dimension ref="A1:C12"/>
  <sheetViews>
    <sheetView zoomScale="70" zoomScaleNormal="70" workbookViewId="0">
      <selection activeCell="A18" sqref="A18"/>
    </sheetView>
  </sheetViews>
  <sheetFormatPr baseColWidth="10" defaultRowHeight="14.4"/>
  <cols>
    <col min="1" max="1" width="58.21875" style="4" customWidth="1"/>
    <col min="2" max="2" width="43.6640625" style="4" customWidth="1"/>
    <col min="3" max="3" width="31.33203125" style="4" customWidth="1"/>
    <col min="4" max="4" width="11.5546875" style="4" customWidth="1"/>
    <col min="5" max="16384" width="11.5546875" style="4"/>
  </cols>
  <sheetData>
    <row r="1" spans="1:3" ht="20.399999999999999">
      <c r="A1" s="34" t="s">
        <v>11</v>
      </c>
      <c r="B1" s="34" t="s">
        <v>82</v>
      </c>
      <c r="C1" s="34" t="s">
        <v>86</v>
      </c>
    </row>
    <row r="2" spans="1:3" ht="19.8">
      <c r="A2" s="27" t="s">
        <v>15</v>
      </c>
      <c r="B2" s="28" cm="1">
        <f t="array" ref="B2:B12">'Inputs_OVR '!E10:E20</f>
        <v>5</v>
      </c>
      <c r="C2" s="28" cm="1">
        <f t="array" ref="C2:C12">'Inputs_OVR '!E28:E38</f>
        <v>5</v>
      </c>
    </row>
    <row r="3" spans="1:3" ht="19.8">
      <c r="A3" s="27" t="s">
        <v>16</v>
      </c>
      <c r="B3" s="28">
        <v>5</v>
      </c>
      <c r="C3" s="28">
        <v>5</v>
      </c>
    </row>
    <row r="4" spans="1:3" ht="19.8">
      <c r="A4" s="27" t="s">
        <v>17</v>
      </c>
      <c r="B4" s="28">
        <v>5</v>
      </c>
      <c r="C4" s="28">
        <v>5</v>
      </c>
    </row>
    <row r="5" spans="1:3" ht="19.8">
      <c r="A5" s="27" t="s">
        <v>113</v>
      </c>
      <c r="B5" s="28">
        <v>5</v>
      </c>
      <c r="C5" s="28">
        <v>5</v>
      </c>
    </row>
    <row r="6" spans="1:3" ht="19.8">
      <c r="A6" s="27" t="s">
        <v>19</v>
      </c>
      <c r="B6" s="28">
        <v>3</v>
      </c>
      <c r="C6" s="28">
        <v>5</v>
      </c>
    </row>
    <row r="7" spans="1:3" ht="19.8">
      <c r="A7" s="30" t="s">
        <v>118</v>
      </c>
      <c r="B7" s="28">
        <v>5</v>
      </c>
      <c r="C7" s="28">
        <v>5</v>
      </c>
    </row>
    <row r="8" spans="1:3" ht="19.8">
      <c r="A8" s="27" t="s">
        <v>20</v>
      </c>
      <c r="B8" s="28">
        <v>5</v>
      </c>
      <c r="C8" s="28">
        <v>1</v>
      </c>
    </row>
    <row r="9" spans="1:3" ht="19.8">
      <c r="A9" s="27" t="s">
        <v>21</v>
      </c>
      <c r="B9" s="28">
        <v>5</v>
      </c>
      <c r="C9" s="28">
        <v>5</v>
      </c>
    </row>
    <row r="10" spans="1:3" ht="19.8">
      <c r="A10" s="27" t="s">
        <v>22</v>
      </c>
      <c r="B10" s="28">
        <v>0</v>
      </c>
      <c r="C10" s="28">
        <v>0</v>
      </c>
    </row>
    <row r="11" spans="1:3" ht="19.8">
      <c r="A11" s="27" t="s">
        <v>24</v>
      </c>
      <c r="B11" s="28">
        <v>5</v>
      </c>
      <c r="C11" s="28">
        <v>5</v>
      </c>
    </row>
    <row r="12" spans="1:3" ht="19.8">
      <c r="A12" s="27" t="s">
        <v>25</v>
      </c>
      <c r="B12" s="28">
        <v>5</v>
      </c>
      <c r="C12" s="28">
        <v>5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11613-DC61-496D-BDAB-572C84BDEC1E}">
  <sheetPr codeName="Hoja6"/>
  <dimension ref="C4:H38"/>
  <sheetViews>
    <sheetView topLeftCell="A10" zoomScale="80" zoomScaleNormal="80" workbookViewId="0">
      <selection activeCell="G34" sqref="G34"/>
    </sheetView>
  </sheetViews>
  <sheetFormatPr baseColWidth="10" defaultRowHeight="14.4"/>
  <cols>
    <col min="1" max="2" width="11.5546875" style="4"/>
    <col min="3" max="3" width="51.33203125" style="4" customWidth="1"/>
    <col min="4" max="5" width="20.33203125" style="4" customWidth="1"/>
    <col min="6" max="6" width="24.33203125" style="4" customWidth="1"/>
    <col min="7" max="7" width="58.44140625" style="4" customWidth="1"/>
    <col min="8" max="8" width="44.5546875" style="4" customWidth="1"/>
    <col min="9" max="16384" width="11.5546875" style="4"/>
  </cols>
  <sheetData>
    <row r="4" spans="3:8">
      <c r="C4" s="26"/>
    </row>
    <row r="7" spans="3:8" ht="20.399999999999999">
      <c r="C7" s="6" t="s">
        <v>82</v>
      </c>
    </row>
    <row r="9" spans="3:8" ht="19.8">
      <c r="C9" s="24" t="s">
        <v>30</v>
      </c>
      <c r="D9" s="24" t="s">
        <v>27</v>
      </c>
      <c r="E9" s="24" t="s">
        <v>13</v>
      </c>
      <c r="F9" s="24" t="s">
        <v>26</v>
      </c>
      <c r="G9" s="24" t="s">
        <v>28</v>
      </c>
      <c r="H9" s="24" t="s">
        <v>32</v>
      </c>
    </row>
    <row r="10" spans="3:8" ht="39.6">
      <c r="C10" s="27" t="s">
        <v>15</v>
      </c>
      <c r="D10" s="28">
        <v>15.5</v>
      </c>
      <c r="E10" s="28">
        <f>IF(D10="",0,IF(D10&lt;=5,1,IF(D10&lt;=10,2,IF(D10&lt;=15,4,5))))</f>
        <v>5</v>
      </c>
      <c r="F10" s="28" t="s">
        <v>83</v>
      </c>
      <c r="G10" s="29" t="s">
        <v>85</v>
      </c>
      <c r="H10" s="28"/>
    </row>
    <row r="11" spans="3:8" ht="19.8">
      <c r="C11" s="30" t="s">
        <v>16</v>
      </c>
      <c r="D11" s="31">
        <v>52.8</v>
      </c>
      <c r="E11" s="31">
        <f>IF(D11="",0,IF(D11&lt;=15,1,IF(D11&lt;=30,3,5)))</f>
        <v>5</v>
      </c>
      <c r="F11" s="28" t="s">
        <v>83</v>
      </c>
      <c r="G11" s="29" t="s">
        <v>85</v>
      </c>
      <c r="H11" s="31"/>
    </row>
    <row r="12" spans="3:8" ht="19.8">
      <c r="C12" s="30" t="s">
        <v>17</v>
      </c>
      <c r="D12" s="66">
        <v>0</v>
      </c>
      <c r="E12" s="31">
        <f>IF(D12="NR",0,IF(D12="","",IF(D12=0,5,IF(D12&lt;0.5%,4,IF(D12&lt;1%,3,IF(D12&lt;3%,2,1))))))</f>
        <v>5</v>
      </c>
      <c r="F12" s="28" t="s">
        <v>83</v>
      </c>
      <c r="G12" s="29" t="s">
        <v>85</v>
      </c>
    </row>
    <row r="13" spans="3:8" ht="19.8">
      <c r="C13" s="30" t="s">
        <v>113</v>
      </c>
      <c r="D13" s="66">
        <v>0</v>
      </c>
      <c r="E13" s="31">
        <f>IF(D13="NR",0,IF(D13="","",IF(D13=0,5,IF(D13&lt;0.5%,4,IF(D13&lt;1%,3,IF(D13&lt;3%,2,1))))))</f>
        <v>5</v>
      </c>
      <c r="F13" s="28" t="s">
        <v>83</v>
      </c>
      <c r="G13" s="29" t="s">
        <v>85</v>
      </c>
    </row>
    <row r="14" spans="3:8" ht="39.6">
      <c r="C14" s="30" t="s">
        <v>19</v>
      </c>
      <c r="D14" s="66">
        <v>5.5999999999999999E-3</v>
      </c>
      <c r="E14" s="31">
        <f>IF(D14="NR",0,IF(D14="","",IF(D14=0,5,IF(D14&lt;0.5%,4,IF(D14&lt;1%,3,IF(D14&lt;3%,2,1))))))</f>
        <v>3</v>
      </c>
      <c r="F14" s="28" t="s">
        <v>83</v>
      </c>
      <c r="G14" s="29" t="s">
        <v>85</v>
      </c>
      <c r="H14" s="31" t="s">
        <v>84</v>
      </c>
    </row>
    <row r="15" spans="3:8" ht="19.8">
      <c r="C15" s="30" t="s">
        <v>118</v>
      </c>
      <c r="D15" s="66">
        <v>0</v>
      </c>
      <c r="E15" s="31">
        <f>IF(D15="NR",0,IF(D15="","",IF(D15=0,5,IF(D15&lt;0.5%,4,IF(D15&lt;1%,3,IF(D15&lt;3%,2,1))))))</f>
        <v>5</v>
      </c>
      <c r="F15" s="28" t="s">
        <v>83</v>
      </c>
      <c r="G15" s="29" t="s">
        <v>85</v>
      </c>
      <c r="H15" s="31"/>
    </row>
    <row r="16" spans="3:8" ht="83.4" customHeight="1">
      <c r="C16" s="30" t="s">
        <v>20</v>
      </c>
      <c r="D16" s="31" t="s">
        <v>38</v>
      </c>
      <c r="E16" s="31">
        <f>IF(D16="Prolongada",1,IF(D16="No prolongada",5,IF(D16="NR",0,"")))</f>
        <v>5</v>
      </c>
      <c r="F16" s="31"/>
      <c r="G16" s="32" t="s">
        <v>34</v>
      </c>
      <c r="H16" s="31"/>
    </row>
    <row r="17" spans="3:8" ht="19.8">
      <c r="C17" s="30" t="s">
        <v>21</v>
      </c>
      <c r="D17" s="31" t="s">
        <v>8</v>
      </c>
      <c r="E17" s="31">
        <f>IF(D17="Empeoramiento",1,IF(D17="Sin efecto",3,IF(D17="Mejoría",5,IF(D17="NR",0,""))))</f>
        <v>5</v>
      </c>
      <c r="F17" s="28" t="s">
        <v>83</v>
      </c>
      <c r="G17" s="29" t="s">
        <v>85</v>
      </c>
      <c r="H17" s="31"/>
    </row>
    <row r="18" spans="3:8" ht="19.8">
      <c r="C18" s="30" t="s">
        <v>22</v>
      </c>
      <c r="D18" s="31" t="s">
        <v>29</v>
      </c>
      <c r="E18" s="31">
        <f>IF(D18="Empeoramiento",1,IF(D18="Sin efecto",3,IF(D18="Mejoría",5,IF(D18="NR",0,""))))</f>
        <v>0</v>
      </c>
      <c r="F18" s="28" t="s">
        <v>83</v>
      </c>
      <c r="G18" s="32"/>
      <c r="H18" s="31"/>
    </row>
    <row r="19" spans="3:8" ht="19.8">
      <c r="C19" s="30" t="s">
        <v>24</v>
      </c>
      <c r="D19" s="31" t="s">
        <v>33</v>
      </c>
      <c r="E19" s="31">
        <f>IF(D19="Off-label",1,IF(D19="On-label",5,""))</f>
        <v>5</v>
      </c>
      <c r="F19" s="31"/>
      <c r="G19" s="32" t="s">
        <v>39</v>
      </c>
      <c r="H19" s="31"/>
    </row>
    <row r="20" spans="3:8" ht="31.2">
      <c r="C20" s="30" t="s">
        <v>25</v>
      </c>
      <c r="D20" s="31" t="s">
        <v>7</v>
      </c>
      <c r="E20" s="31">
        <f>IF(D20="No incluido",1,IF(D20="Incluido",5,""))</f>
        <v>5</v>
      </c>
      <c r="F20" s="31"/>
      <c r="G20" s="32" t="s">
        <v>88</v>
      </c>
      <c r="H20" s="31"/>
    </row>
    <row r="23" spans="3:8" ht="20.399999999999999">
      <c r="C23" s="6" t="s">
        <v>86</v>
      </c>
    </row>
    <row r="27" spans="3:8" ht="19.8">
      <c r="C27" s="24" t="s">
        <v>30</v>
      </c>
      <c r="D27" s="24" t="s">
        <v>27</v>
      </c>
      <c r="E27" s="24" t="s">
        <v>13</v>
      </c>
      <c r="F27" s="24" t="s">
        <v>26</v>
      </c>
      <c r="G27" s="24" t="s">
        <v>28</v>
      </c>
      <c r="H27" s="24" t="s">
        <v>32</v>
      </c>
    </row>
    <row r="28" spans="3:8" ht="39.6">
      <c r="C28" s="27" t="s">
        <v>15</v>
      </c>
      <c r="D28" s="28">
        <v>17.100000000000001</v>
      </c>
      <c r="E28" s="28">
        <f>IF(D28="",0,IF(D28&lt;=5,1,IF(D28&lt;=10,2,IF(D28&lt;=15,4,5))))</f>
        <v>5</v>
      </c>
      <c r="F28" s="28" t="s">
        <v>41</v>
      </c>
      <c r="G28" s="29" t="s">
        <v>87</v>
      </c>
      <c r="H28" s="28"/>
    </row>
    <row r="29" spans="3:8" ht="19.8">
      <c r="C29" s="30" t="s">
        <v>16</v>
      </c>
      <c r="D29" s="31">
        <v>57.1</v>
      </c>
      <c r="E29" s="31">
        <f>IF(D29="",0,IF(D29&lt;=15,1,IF(D29&lt;=30,3,5)))</f>
        <v>5</v>
      </c>
      <c r="F29" s="28" t="s">
        <v>41</v>
      </c>
      <c r="G29" s="29" t="s">
        <v>87</v>
      </c>
      <c r="H29" s="31"/>
    </row>
    <row r="30" spans="3:8" ht="19.8">
      <c r="C30" s="30" t="s">
        <v>17</v>
      </c>
      <c r="D30" s="66">
        <v>0</v>
      </c>
      <c r="E30" s="31">
        <f>IF(D30="NR",0,IF(D30="","",IF(D30=0,5,IF(D30&lt;0.5%,4,IF(D30&lt;1%,3,IF(D30&lt;3%,2,1))))))</f>
        <v>5</v>
      </c>
      <c r="F30" s="28" t="s">
        <v>41</v>
      </c>
      <c r="G30" s="29" t="s">
        <v>87</v>
      </c>
      <c r="H30" s="31"/>
    </row>
    <row r="31" spans="3:8" ht="19.8">
      <c r="C31" s="30" t="s">
        <v>113</v>
      </c>
      <c r="D31" s="66">
        <v>0</v>
      </c>
      <c r="E31" s="31">
        <f>IF(D31="NR",0,IF(D31="","",IF(D31=0,5,IF(D31&lt;0.5%,4,IF(D31&lt;1%,3,IF(D31&lt;3%,2,1))))))</f>
        <v>5</v>
      </c>
      <c r="F31" s="28" t="s">
        <v>41</v>
      </c>
      <c r="G31" s="29" t="s">
        <v>87</v>
      </c>
      <c r="H31" s="31"/>
    </row>
    <row r="32" spans="3:8" ht="19.8">
      <c r="C32" s="30" t="s">
        <v>19</v>
      </c>
      <c r="D32" s="66">
        <v>0</v>
      </c>
      <c r="E32" s="31">
        <f>IF(D32="NR",0,IF(D32="","",IF(D32=0,5,IF(D32&lt;0.5%,4,IF(D32&lt;1%,3,IF(D32&lt;3%,2,1))))))</f>
        <v>5</v>
      </c>
      <c r="F32" s="28" t="s">
        <v>41</v>
      </c>
      <c r="G32" s="29" t="s">
        <v>87</v>
      </c>
      <c r="H32" s="31"/>
    </row>
    <row r="33" spans="3:8" ht="19.8">
      <c r="C33" s="30" t="s">
        <v>118</v>
      </c>
      <c r="D33" s="66">
        <v>0</v>
      </c>
      <c r="E33" s="31">
        <f>IF(D33="NR",0,IF(D33="","",IF(D33=0,5,IF(D33&lt;0.5%,4,IF(D33&lt;1%,3,IF(D33&lt;3%,2,1))))))</f>
        <v>5</v>
      </c>
      <c r="F33" s="28" t="s">
        <v>41</v>
      </c>
      <c r="G33" s="29" t="s">
        <v>87</v>
      </c>
      <c r="H33" s="31"/>
    </row>
    <row r="34" spans="3:8" ht="93" customHeight="1">
      <c r="C34" s="30" t="s">
        <v>20</v>
      </c>
      <c r="D34" s="31" t="s">
        <v>31</v>
      </c>
      <c r="E34" s="31">
        <f>IF(D34="Prolongada",1,IF(D34="No prolongada",5,IF(D34="NR",0,"")))</f>
        <v>1</v>
      </c>
      <c r="F34" s="31"/>
      <c r="G34" s="32" t="s">
        <v>34</v>
      </c>
      <c r="H34" s="31"/>
    </row>
    <row r="35" spans="3:8" ht="24" customHeight="1">
      <c r="C35" s="30" t="s">
        <v>21</v>
      </c>
      <c r="D35" s="31" t="s">
        <v>8</v>
      </c>
      <c r="E35" s="31">
        <f>IF(D35="Empeoramiento",1,IF(D35="Sin efecto",3,IF(D35="Mejoría",5,IF(D35="NR",0,""))))</f>
        <v>5</v>
      </c>
      <c r="F35" s="28" t="s">
        <v>41</v>
      </c>
      <c r="G35" s="29" t="s">
        <v>87</v>
      </c>
      <c r="H35" s="31"/>
    </row>
    <row r="36" spans="3:8" ht="25.2" customHeight="1">
      <c r="C36" s="30" t="s">
        <v>22</v>
      </c>
      <c r="D36" s="31" t="s">
        <v>29</v>
      </c>
      <c r="E36" s="31">
        <f>IF(D36="Empeoramiento",1,IF(D36="Sin efecto",3,IF(D36="Mejoría",5,IF(D36="NR",0,""))))</f>
        <v>0</v>
      </c>
      <c r="F36" s="31"/>
      <c r="G36" s="32"/>
      <c r="H36" s="31"/>
    </row>
    <row r="37" spans="3:8" ht="33" customHeight="1">
      <c r="C37" s="30" t="s">
        <v>24</v>
      </c>
      <c r="D37" s="31" t="s">
        <v>33</v>
      </c>
      <c r="E37" s="31">
        <f>IF(D37="Off-label",1,IF(D37="On-label",5,""))</f>
        <v>5</v>
      </c>
      <c r="F37" s="31"/>
      <c r="G37" s="32" t="s">
        <v>55</v>
      </c>
      <c r="H37" s="31"/>
    </row>
    <row r="38" spans="3:8" ht="71.400000000000006" customHeight="1">
      <c r="C38" s="30" t="s">
        <v>25</v>
      </c>
      <c r="D38" s="31" t="s">
        <v>7</v>
      </c>
      <c r="E38" s="31">
        <f>IF(D38="No incluido",1,IF(D38="Incluido",5,""))</f>
        <v>5</v>
      </c>
      <c r="F38" s="31"/>
      <c r="G38" s="32" t="s">
        <v>88</v>
      </c>
      <c r="H38" s="31"/>
    </row>
  </sheetData>
  <dataValidations count="5">
    <dataValidation type="list" allowBlank="1" showInputMessage="1" showErrorMessage="1" sqref="D19 D37" xr:uid="{B3ABD638-6C99-4B47-B673-E5B5C9E63E68}">
      <formula1>"On-Label, Off-Label"</formula1>
    </dataValidation>
    <dataValidation type="list" allowBlank="1" showInputMessage="1" showErrorMessage="1" sqref="D16 D34" xr:uid="{469EB172-7D0E-4B86-879A-4A67867AC81B}">
      <formula1>"Prolongada, No prolongada, NR"</formula1>
    </dataValidation>
    <dataValidation type="list" allowBlank="1" showInputMessage="1" showErrorMessage="1" sqref="D17:D18 D35:D36" xr:uid="{EEDF041B-2407-428F-9DF9-43B59EE74D05}">
      <formula1>"Empeoramiento, Sin efecto, Mejoría, NR"</formula1>
    </dataValidation>
    <dataValidation type="list" allowBlank="1" showInputMessage="1" showErrorMessage="1" sqref="D20 D38" xr:uid="{0C6E0B77-6326-4095-8936-0A980D1F625C}">
      <formula1>"Incluido, No incluido"</formula1>
    </dataValidation>
    <dataValidation type="decimal" allowBlank="1" showInputMessage="1" showErrorMessage="1" sqref="D12:D15 D30:D33" xr:uid="{D0757F3D-E3B2-4921-A7AD-B2004ED1F8F4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ECB36-74F8-402F-AA7B-846CD1DA2332}">
  <sheetPr codeName="Hoja13"/>
  <dimension ref="A4:C20"/>
  <sheetViews>
    <sheetView workbookViewId="0">
      <selection activeCell="D14" sqref="D14"/>
    </sheetView>
  </sheetViews>
  <sheetFormatPr baseColWidth="10" defaultRowHeight="14.4"/>
  <cols>
    <col min="1" max="1" width="17.5546875" style="4" customWidth="1"/>
    <col min="2" max="2" width="30.6640625" style="4" customWidth="1"/>
    <col min="3" max="3" width="30.33203125" style="4" customWidth="1"/>
    <col min="4" max="4" width="25.109375" style="4" customWidth="1"/>
    <col min="5" max="6" width="11.5546875" style="4"/>
    <col min="7" max="7" width="11.5546875" style="4" customWidth="1"/>
    <col min="8" max="16384" width="11.5546875" style="4"/>
  </cols>
  <sheetData>
    <row r="4" spans="1:3" ht="20.399999999999999">
      <c r="B4" s="92" t="s">
        <v>92</v>
      </c>
      <c r="C4" s="92"/>
    </row>
    <row r="6" spans="1:3" ht="20.399999999999999">
      <c r="B6" s="92" t="s">
        <v>82</v>
      </c>
      <c r="C6" s="92"/>
    </row>
    <row r="7" spans="1:3" ht="36" customHeight="1">
      <c r="A7" s="52" t="s">
        <v>93</v>
      </c>
      <c r="B7" s="90" t="s">
        <v>100</v>
      </c>
      <c r="C7" s="90"/>
    </row>
    <row r="8" spans="1:3" ht="55.8" customHeight="1">
      <c r="A8" s="89" t="s">
        <v>94</v>
      </c>
      <c r="B8" s="90" t="s">
        <v>95</v>
      </c>
      <c r="C8" s="90"/>
    </row>
    <row r="9" spans="1:3" ht="74.400000000000006" customHeight="1">
      <c r="A9" s="89"/>
      <c r="B9" s="90" t="s">
        <v>96</v>
      </c>
      <c r="C9" s="90"/>
    </row>
    <row r="10" spans="1:3" ht="15.6">
      <c r="A10" s="89" t="s">
        <v>97</v>
      </c>
      <c r="B10" s="91" t="s">
        <v>98</v>
      </c>
      <c r="C10" s="91"/>
    </row>
    <row r="11" spans="1:3" s="25" customFormat="1" ht="73.8" customHeight="1">
      <c r="A11" s="89"/>
      <c r="B11" s="91" t="s">
        <v>101</v>
      </c>
      <c r="C11" s="91"/>
    </row>
    <row r="15" spans="1:3" ht="20.399999999999999">
      <c r="B15" s="92" t="s">
        <v>86</v>
      </c>
      <c r="C15" s="92"/>
    </row>
    <row r="16" spans="1:3" ht="88.2" customHeight="1">
      <c r="A16" s="52" t="s">
        <v>93</v>
      </c>
      <c r="B16" s="90" t="s">
        <v>102</v>
      </c>
      <c r="C16" s="90"/>
    </row>
    <row r="17" spans="1:3" ht="55.8" customHeight="1">
      <c r="A17" s="89" t="s">
        <v>94</v>
      </c>
      <c r="B17" s="90" t="s">
        <v>95</v>
      </c>
      <c r="C17" s="90"/>
    </row>
    <row r="18" spans="1:3" ht="74.400000000000006" customHeight="1">
      <c r="A18" s="89"/>
      <c r="B18" s="90" t="s">
        <v>96</v>
      </c>
      <c r="C18" s="90"/>
    </row>
    <row r="19" spans="1:3" ht="46.8" customHeight="1">
      <c r="A19" s="89" t="s">
        <v>97</v>
      </c>
      <c r="B19" s="91" t="s">
        <v>99</v>
      </c>
      <c r="C19" s="91"/>
    </row>
    <row r="20" spans="1:3" ht="85.8" customHeight="1">
      <c r="A20" s="89"/>
      <c r="B20" s="91" t="s">
        <v>101</v>
      </c>
      <c r="C20" s="91"/>
    </row>
  </sheetData>
  <mergeCells count="17">
    <mergeCell ref="B4:C4"/>
    <mergeCell ref="B6:C6"/>
    <mergeCell ref="B7:C7"/>
    <mergeCell ref="A8:A9"/>
    <mergeCell ref="B8:C8"/>
    <mergeCell ref="B9:C9"/>
    <mergeCell ref="A10:A11"/>
    <mergeCell ref="B10:C10"/>
    <mergeCell ref="B11:C11"/>
    <mergeCell ref="B15:C15"/>
    <mergeCell ref="B16:C16"/>
    <mergeCell ref="A17:A18"/>
    <mergeCell ref="B17:C17"/>
    <mergeCell ref="B18:C18"/>
    <mergeCell ref="A19:A20"/>
    <mergeCell ref="B19:C19"/>
    <mergeCell ref="B20:C20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AD8FE-95A6-42C2-82D3-8B67626228B8}">
  <sheetPr codeName="Hoja10"/>
  <dimension ref="A1:C12"/>
  <sheetViews>
    <sheetView workbookViewId="0">
      <selection activeCell="A8" sqref="A8"/>
    </sheetView>
  </sheetViews>
  <sheetFormatPr baseColWidth="10" defaultRowHeight="14.4"/>
  <cols>
    <col min="1" max="1" width="46.33203125" style="4" customWidth="1"/>
    <col min="2" max="2" width="30.77734375" style="4" customWidth="1"/>
    <col min="3" max="3" width="23.21875" style="4" customWidth="1"/>
    <col min="4" max="4" width="11.5546875" style="4" customWidth="1"/>
    <col min="5" max="16384" width="11.5546875" style="4"/>
  </cols>
  <sheetData>
    <row r="1" spans="1:3" ht="20.399999999999999">
      <c r="A1" s="34" t="s">
        <v>11</v>
      </c>
      <c r="B1" s="34" t="s">
        <v>82</v>
      </c>
      <c r="C1" s="34" t="s">
        <v>86</v>
      </c>
    </row>
    <row r="2" spans="1:3" ht="39.6">
      <c r="A2" s="27" t="s">
        <v>15</v>
      </c>
      <c r="B2" s="28">
        <f>'Inputs_OVR '!D10</f>
        <v>15.5</v>
      </c>
      <c r="C2" s="27">
        <f>'Inputs_OVR '!D28</f>
        <v>17.100000000000001</v>
      </c>
    </row>
    <row r="3" spans="1:3" ht="19.8">
      <c r="A3" s="27" t="s">
        <v>16</v>
      </c>
      <c r="B3" s="28">
        <f>'Inputs_OVR '!D11</f>
        <v>52.8</v>
      </c>
      <c r="C3" s="27">
        <f>'Inputs_OVR '!D29</f>
        <v>57.1</v>
      </c>
    </row>
    <row r="4" spans="1:3" ht="19.8">
      <c r="A4" s="27" t="s">
        <v>17</v>
      </c>
      <c r="B4" s="28">
        <f>'Inputs_OVR '!D12</f>
        <v>0</v>
      </c>
      <c r="C4" s="27">
        <f>'Inputs_OVR '!D30</f>
        <v>0</v>
      </c>
    </row>
    <row r="5" spans="1:3" ht="19.8">
      <c r="A5" s="27" t="s">
        <v>113</v>
      </c>
      <c r="B5" s="28">
        <f>'Inputs_OVR '!D13</f>
        <v>0</v>
      </c>
      <c r="C5" s="27">
        <f>'Inputs_OVR '!D31</f>
        <v>0</v>
      </c>
    </row>
    <row r="6" spans="1:3" ht="19.8">
      <c r="A6" s="27" t="s">
        <v>19</v>
      </c>
      <c r="B6" s="28">
        <f>'Inputs_OVR '!D14</f>
        <v>5.5999999999999999E-3</v>
      </c>
      <c r="C6" s="27">
        <f>'Inputs_OVR '!D32</f>
        <v>0</v>
      </c>
    </row>
    <row r="7" spans="1:3" ht="19.8">
      <c r="A7" s="27" t="s">
        <v>118</v>
      </c>
      <c r="B7" s="28">
        <f>'Inputs_OVR '!D15</f>
        <v>0</v>
      </c>
      <c r="C7" s="27">
        <f>'Inputs_OVR '!D33</f>
        <v>0</v>
      </c>
    </row>
    <row r="8" spans="1:3" ht="19.8">
      <c r="A8" s="27" t="s">
        <v>20</v>
      </c>
      <c r="B8" s="28" t="str">
        <f>'Inputs_OVR '!D16</f>
        <v>No prolongada</v>
      </c>
      <c r="C8" s="27" t="str">
        <f>'Inputs_OVR '!D34</f>
        <v>Prolongada</v>
      </c>
    </row>
    <row r="9" spans="1:3" ht="19.8">
      <c r="A9" s="27" t="s">
        <v>21</v>
      </c>
      <c r="B9" s="28" t="str">
        <f>'Inputs_OVR '!D17</f>
        <v>Mejoría</v>
      </c>
      <c r="C9" s="27" t="str">
        <f>'Inputs_OVR '!D35</f>
        <v>Mejoría</v>
      </c>
    </row>
    <row r="10" spans="1:3" ht="19.8">
      <c r="A10" s="27" t="s">
        <v>22</v>
      </c>
      <c r="B10" s="28" t="str">
        <f>'Inputs_OVR '!D18</f>
        <v>NR</v>
      </c>
      <c r="C10" s="27" t="str">
        <f>'Inputs_OVR '!D36</f>
        <v>NR</v>
      </c>
    </row>
    <row r="11" spans="1:3" ht="19.8">
      <c r="A11" s="27" t="s">
        <v>24</v>
      </c>
      <c r="B11" s="28" t="str">
        <f>'Inputs_OVR '!D19</f>
        <v>On-Label</v>
      </c>
      <c r="C11" s="27" t="str">
        <f>'Inputs_OVR '!D37</f>
        <v>On-Label</v>
      </c>
    </row>
    <row r="12" spans="1:3" ht="19.8">
      <c r="A12" s="27" t="s">
        <v>25</v>
      </c>
      <c r="B12" s="28" t="str">
        <f>'Inputs_OVR '!D20</f>
        <v>Incluido</v>
      </c>
      <c r="C12" s="27" t="str">
        <f>'Inputs_OVR '!D38</f>
        <v>Incluido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/>
  <dimension ref="A1:B2"/>
  <sheetViews>
    <sheetView workbookViewId="0"/>
  </sheetViews>
  <sheetFormatPr baseColWidth="10" defaultColWidth="8.88671875" defaultRowHeight="14.4"/>
  <sheetData>
    <row r="1" spans="1:2">
      <c r="A1" t="s">
        <v>5</v>
      </c>
      <c r="B1" t="s">
        <v>6</v>
      </c>
    </row>
    <row r="2" spans="1:2">
      <c r="A2">
        <f>'MCDA Advanced Dashboard'!F31</f>
        <v>90.720000000000013</v>
      </c>
      <c r="B2">
        <f>100-A2</f>
        <v>9.2799999999999869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2</vt:i4>
      </vt:variant>
    </vt:vector>
  </HeadingPairs>
  <TitlesOfParts>
    <vt:vector size="13" baseType="lpstr">
      <vt:lpstr>Modelo de valor</vt:lpstr>
      <vt:lpstr>Definiciones </vt:lpstr>
      <vt:lpstr>MCDA Advanced Dashboard</vt:lpstr>
      <vt:lpstr>T_results</vt:lpstr>
      <vt:lpstr>Resumen</vt:lpstr>
      <vt:lpstr>Input_costo2</vt:lpstr>
      <vt:lpstr>Matriz_Medicamentos</vt:lpstr>
      <vt:lpstr>Inputs_OVR </vt:lpstr>
      <vt:lpstr>Referencias</vt:lpstr>
      <vt:lpstr>Matriz_Resultados_Crudos</vt:lpstr>
      <vt:lpstr>ChartData</vt:lpstr>
      <vt:lpstr>Resumen!Área_de_impresión</vt:lpstr>
      <vt:lpstr>RX3_Lista_Moleculas_Seleccionadas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JAIR SOTO</dc:creator>
  <cp:lastModifiedBy>JAIR SOTO</cp:lastModifiedBy>
  <cp:lastPrinted>2026-07-02T18:31:30Z</cp:lastPrinted>
  <dcterms:created xsi:type="dcterms:W3CDTF">2026-06-03T18:25:09Z</dcterms:created>
  <dcterms:modified xsi:type="dcterms:W3CDTF">2026-09-25T12:37:08Z</dcterms:modified>
</cp:coreProperties>
</file>